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env1240_ox_ac_uk/Documents/Work_OX/23Oct-Cotton/appeal/"/>
    </mc:Choice>
  </mc:AlternateContent>
  <xr:revisionPtr revIDLastSave="3827" documentId="11_3D9BF9A8D25F4897877FC635095D495E81B94741" xr6:coauthVersionLast="47" xr6:coauthVersionMax="47" xr10:uidLastSave="{8B800AE0-0C4D-FF4F-9EA3-86CA9B8B9910}"/>
  <bookViews>
    <workbookView xWindow="-400" yWindow="860" windowWidth="30240" windowHeight="17820" firstSheet="1" activeTab="4" xr2:uid="{00000000-000D-0000-FFFF-FFFF00000000}"/>
  </bookViews>
  <sheets>
    <sheet name="Emission Factors (2025)" sheetId="1" r:id="rId1"/>
    <sheet name="Emission Factors (2049)" sheetId="2" r:id="rId2"/>
    <sheet name="LCI Inventory Data" sheetId="3" r:id="rId3"/>
    <sheet name="Fuel Combustion Factors" sheetId="7" r:id="rId4"/>
    <sheet name="LCA Results" sheetId="6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6" l="1"/>
  <c r="AF47" i="6"/>
  <c r="AD47" i="6"/>
  <c r="AC47" i="6"/>
  <c r="AB47" i="6"/>
  <c r="AA47" i="6"/>
  <c r="V47" i="6"/>
  <c r="Y47" i="6"/>
  <c r="G47" i="6"/>
  <c r="Y46" i="6"/>
  <c r="Y42" i="6"/>
  <c r="X47" i="6"/>
  <c r="X45" i="6"/>
  <c r="Y45" i="6" s="1"/>
  <c r="X44" i="6"/>
  <c r="Y44" i="6" s="1"/>
  <c r="X43" i="6"/>
  <c r="Y43" i="6" s="1"/>
  <c r="X41" i="6"/>
  <c r="Y41" i="6" s="1"/>
  <c r="X40" i="6"/>
  <c r="Y40" i="6" s="1"/>
  <c r="X39" i="6"/>
  <c r="Y39" i="6" s="1"/>
  <c r="X38" i="6"/>
  <c r="Y38" i="6" s="1"/>
  <c r="X37" i="6"/>
  <c r="Y37" i="6" s="1"/>
  <c r="X36" i="6"/>
  <c r="Y36" i="6" s="1"/>
  <c r="Y31" i="6"/>
  <c r="Y27" i="6"/>
  <c r="Y26" i="6"/>
  <c r="Y24" i="6"/>
  <c r="Y22" i="6"/>
  <c r="X30" i="6"/>
  <c r="Y30" i="6" s="1"/>
  <c r="X29" i="6"/>
  <c r="Y29" i="6" s="1"/>
  <c r="X28" i="6"/>
  <c r="Y28" i="6" s="1"/>
  <c r="X26" i="6"/>
  <c r="X25" i="6"/>
  <c r="Y25" i="6" s="1"/>
  <c r="X24" i="6"/>
  <c r="X23" i="6"/>
  <c r="Y23" i="6" s="1"/>
  <c r="X22" i="6"/>
  <c r="X21" i="6"/>
  <c r="Y21" i="6" s="1"/>
  <c r="Y17" i="6"/>
  <c r="Y15" i="6"/>
  <c r="Y11" i="6"/>
  <c r="Y6" i="6"/>
  <c r="X14" i="6"/>
  <c r="Y14" i="6" s="1"/>
  <c r="X13" i="6"/>
  <c r="Y13" i="6" s="1"/>
  <c r="X12" i="6"/>
  <c r="Y12" i="6" s="1"/>
  <c r="X10" i="6"/>
  <c r="Y10" i="6" s="1"/>
  <c r="X9" i="6"/>
  <c r="Y9" i="6" s="1"/>
  <c r="X8" i="6"/>
  <c r="Y8" i="6" s="1"/>
  <c r="X7" i="6"/>
  <c r="Y7" i="6" s="1"/>
  <c r="X6" i="6"/>
  <c r="X5" i="6"/>
  <c r="Y5" i="6" s="1"/>
  <c r="W46" i="6"/>
  <c r="W43" i="6"/>
  <c r="W31" i="6"/>
  <c r="W28" i="6"/>
  <c r="W15" i="6"/>
  <c r="W12" i="6"/>
  <c r="W45" i="6"/>
  <c r="W44" i="6"/>
  <c r="W42" i="6"/>
  <c r="W41" i="6"/>
  <c r="W40" i="6"/>
  <c r="W39" i="6"/>
  <c r="W38" i="6"/>
  <c r="W37" i="6"/>
  <c r="W36" i="6"/>
  <c r="W30" i="6"/>
  <c r="W29" i="6"/>
  <c r="W27" i="6"/>
  <c r="W26" i="6"/>
  <c r="W25" i="6"/>
  <c r="W24" i="6"/>
  <c r="W23" i="6"/>
  <c r="W22" i="6"/>
  <c r="W21" i="6"/>
  <c r="W17" i="6"/>
  <c r="W14" i="6"/>
  <c r="W13" i="6"/>
  <c r="W10" i="6"/>
  <c r="W9" i="6"/>
  <c r="W8" i="6"/>
  <c r="W7" i="6"/>
  <c r="W6" i="6"/>
  <c r="W5" i="6"/>
  <c r="W11" i="6"/>
  <c r="I11" i="6"/>
  <c r="Y49" i="6" l="1"/>
  <c r="AH47" i="6"/>
  <c r="Y33" i="6"/>
  <c r="W33" i="6"/>
  <c r="W18" i="6"/>
  <c r="Y18" i="6"/>
  <c r="AG47" i="6" l="1"/>
  <c r="G11" i="6"/>
  <c r="W49" i="6" l="1"/>
  <c r="U49" i="6"/>
  <c r="S49" i="6"/>
  <c r="W47" i="6"/>
  <c r="U17" i="6"/>
  <c r="S17" i="6"/>
  <c r="Q17" i="6"/>
  <c r="O17" i="6"/>
  <c r="M17" i="6"/>
  <c r="K17" i="6"/>
  <c r="I17" i="6"/>
  <c r="G17" i="6"/>
  <c r="G13" i="6"/>
  <c r="C35" i="7"/>
  <c r="C34" i="7"/>
  <c r="C33" i="7"/>
  <c r="C32" i="7"/>
  <c r="C31" i="7"/>
  <c r="C30" i="7"/>
  <c r="C29" i="7"/>
  <c r="C28" i="7"/>
  <c r="C27" i="7"/>
  <c r="C26" i="7"/>
  <c r="C25" i="7"/>
  <c r="B30" i="7"/>
  <c r="B35" i="7"/>
  <c r="B34" i="7"/>
  <c r="B33" i="7"/>
  <c r="B32" i="7"/>
  <c r="B31" i="7"/>
  <c r="B29" i="7"/>
  <c r="B28" i="7"/>
  <c r="B27" i="7"/>
  <c r="B25" i="7"/>
  <c r="B26" i="7"/>
  <c r="C37" i="7" l="1"/>
  <c r="B37" i="7"/>
  <c r="J43" i="6"/>
  <c r="J28" i="6"/>
  <c r="J12" i="6"/>
  <c r="U43" i="6"/>
  <c r="U28" i="6"/>
  <c r="U12" i="6"/>
  <c r="T43" i="6"/>
  <c r="T28" i="6"/>
  <c r="T12" i="6"/>
  <c r="S43" i="6"/>
  <c r="S28" i="6"/>
  <c r="S12" i="6"/>
  <c r="R43" i="6"/>
  <c r="R28" i="6"/>
  <c r="R12" i="6"/>
  <c r="Q43" i="6"/>
  <c r="Q28" i="6"/>
  <c r="Q12" i="6"/>
  <c r="O43" i="6"/>
  <c r="O28" i="6"/>
  <c r="O12" i="6"/>
  <c r="M43" i="6"/>
  <c r="M28" i="6"/>
  <c r="M12" i="6"/>
  <c r="L43" i="6"/>
  <c r="L28" i="6"/>
  <c r="L12" i="6"/>
  <c r="K43" i="6"/>
  <c r="K28" i="6"/>
  <c r="K12" i="6"/>
  <c r="U46" i="6"/>
  <c r="S46" i="6"/>
  <c r="U31" i="6"/>
  <c r="S31" i="6"/>
  <c r="U15" i="6"/>
  <c r="S15" i="6"/>
  <c r="Q46" i="6"/>
  <c r="O46" i="6"/>
  <c r="Q31" i="6"/>
  <c r="O31" i="6"/>
  <c r="Q15" i="6"/>
  <c r="O15" i="6"/>
  <c r="M46" i="6"/>
  <c r="K46" i="6"/>
  <c r="M31" i="6"/>
  <c r="K31" i="6"/>
  <c r="M15" i="6"/>
  <c r="K15" i="6"/>
  <c r="U47" i="6"/>
  <c r="I46" i="6"/>
  <c r="I45" i="6"/>
  <c r="I44" i="6"/>
  <c r="I43" i="6"/>
  <c r="I49" i="6" s="1"/>
  <c r="I42" i="6"/>
  <c r="I41" i="6"/>
  <c r="I40" i="6"/>
  <c r="I39" i="6"/>
  <c r="I38" i="6"/>
  <c r="I37" i="6"/>
  <c r="I36" i="6"/>
  <c r="I31" i="6"/>
  <c r="I30" i="6"/>
  <c r="I29" i="6"/>
  <c r="I28" i="6"/>
  <c r="I27" i="6"/>
  <c r="I26" i="6"/>
  <c r="I25" i="6"/>
  <c r="I24" i="6"/>
  <c r="I23" i="6"/>
  <c r="I22" i="6"/>
  <c r="I21" i="6"/>
  <c r="I15" i="6"/>
  <c r="I14" i="6"/>
  <c r="I13" i="6"/>
  <c r="I12" i="6"/>
  <c r="I10" i="6"/>
  <c r="I9" i="6"/>
  <c r="I8" i="6"/>
  <c r="I7" i="6"/>
  <c r="I6" i="6"/>
  <c r="I5" i="6"/>
  <c r="I18" i="6" l="1"/>
  <c r="I33" i="6"/>
  <c r="O47" i="6"/>
  <c r="K47" i="6"/>
  <c r="Q47" i="6"/>
  <c r="S47" i="6"/>
  <c r="M47" i="6"/>
  <c r="T46" i="6"/>
  <c r="T45" i="6"/>
  <c r="U45" i="6" s="1"/>
  <c r="T41" i="6"/>
  <c r="U41" i="6" s="1"/>
  <c r="T40" i="6"/>
  <c r="U40" i="6" s="1"/>
  <c r="T39" i="6"/>
  <c r="U39" i="6" s="1"/>
  <c r="T38" i="6"/>
  <c r="U38" i="6" s="1"/>
  <c r="T37" i="6"/>
  <c r="U37" i="6" s="1"/>
  <c r="T36" i="6"/>
  <c r="U36" i="6" s="1"/>
  <c r="T31" i="6"/>
  <c r="T30" i="6"/>
  <c r="U30" i="6" s="1"/>
  <c r="T26" i="6"/>
  <c r="U26" i="6" s="1"/>
  <c r="T25" i="6"/>
  <c r="U25" i="6" s="1"/>
  <c r="T24" i="6"/>
  <c r="U24" i="6" s="1"/>
  <c r="T23" i="6"/>
  <c r="U23" i="6" s="1"/>
  <c r="T22" i="6"/>
  <c r="U22" i="6" s="1"/>
  <c r="T21" i="6"/>
  <c r="U21" i="6" s="1"/>
  <c r="T15" i="6"/>
  <c r="T14" i="6"/>
  <c r="U14" i="6" s="1"/>
  <c r="T10" i="6"/>
  <c r="U10" i="6" s="1"/>
  <c r="T9" i="6"/>
  <c r="U9" i="6" s="1"/>
  <c r="T8" i="6"/>
  <c r="U8" i="6" s="1"/>
  <c r="T7" i="6"/>
  <c r="U7" i="6" s="1"/>
  <c r="T6" i="6"/>
  <c r="U6" i="6" s="1"/>
  <c r="T5" i="6"/>
  <c r="U5" i="6" s="1"/>
  <c r="R46" i="6"/>
  <c r="R45" i="6"/>
  <c r="S45" i="6" s="1"/>
  <c r="R41" i="6"/>
  <c r="S41" i="6" s="1"/>
  <c r="R40" i="6"/>
  <c r="S40" i="6" s="1"/>
  <c r="R39" i="6"/>
  <c r="S39" i="6" s="1"/>
  <c r="R38" i="6"/>
  <c r="S38" i="6" s="1"/>
  <c r="R37" i="6"/>
  <c r="S37" i="6" s="1"/>
  <c r="R36" i="6"/>
  <c r="S36" i="6" s="1"/>
  <c r="R31" i="6"/>
  <c r="R30" i="6"/>
  <c r="S30" i="6" s="1"/>
  <c r="R26" i="6"/>
  <c r="S26" i="6" s="1"/>
  <c r="R25" i="6"/>
  <c r="S25" i="6" s="1"/>
  <c r="R24" i="6"/>
  <c r="S24" i="6" s="1"/>
  <c r="R23" i="6"/>
  <c r="S23" i="6" s="1"/>
  <c r="R22" i="6"/>
  <c r="S22" i="6" s="1"/>
  <c r="R21" i="6"/>
  <c r="S21" i="6" s="1"/>
  <c r="R15" i="6"/>
  <c r="R14" i="6"/>
  <c r="S14" i="6" s="1"/>
  <c r="R10" i="6"/>
  <c r="S10" i="6" s="1"/>
  <c r="R9" i="6"/>
  <c r="S9" i="6" s="1"/>
  <c r="R8" i="6"/>
  <c r="S8" i="6" s="1"/>
  <c r="R7" i="6"/>
  <c r="S7" i="6" s="1"/>
  <c r="R6" i="6"/>
  <c r="S6" i="6" s="1"/>
  <c r="R5" i="6"/>
  <c r="S5" i="6" s="1"/>
  <c r="P42" i="6"/>
  <c r="P27" i="6"/>
  <c r="P11" i="6"/>
  <c r="N42" i="6"/>
  <c r="N27" i="6"/>
  <c r="N11" i="6"/>
  <c r="L47" i="6"/>
  <c r="P47" i="6" s="1"/>
  <c r="L46" i="6"/>
  <c r="P46" i="6" s="1"/>
  <c r="L45" i="6"/>
  <c r="M45" i="6" s="1"/>
  <c r="L44" i="6"/>
  <c r="M44" i="6" s="1"/>
  <c r="M49" i="6" s="1"/>
  <c r="P43" i="6"/>
  <c r="L41" i="6"/>
  <c r="M41" i="6" s="1"/>
  <c r="L40" i="6"/>
  <c r="L39" i="6"/>
  <c r="L38" i="6"/>
  <c r="L37" i="6"/>
  <c r="L36" i="6"/>
  <c r="M36" i="6" s="1"/>
  <c r="L31" i="6"/>
  <c r="P31" i="6" s="1"/>
  <c r="L30" i="6"/>
  <c r="M30" i="6" s="1"/>
  <c r="L29" i="6"/>
  <c r="M29" i="6" s="1"/>
  <c r="P28" i="6"/>
  <c r="L26" i="6"/>
  <c r="L25" i="6"/>
  <c r="L24" i="6"/>
  <c r="L23" i="6"/>
  <c r="L22" i="6"/>
  <c r="M22" i="6" s="1"/>
  <c r="L21" i="6"/>
  <c r="M21" i="6" s="1"/>
  <c r="L15" i="6"/>
  <c r="P15" i="6" s="1"/>
  <c r="L14" i="6"/>
  <c r="M14" i="6" s="1"/>
  <c r="L13" i="6"/>
  <c r="M13" i="6" s="1"/>
  <c r="P12" i="6"/>
  <c r="L10" i="6"/>
  <c r="L9" i="6"/>
  <c r="L8" i="6"/>
  <c r="L7" i="6"/>
  <c r="M7" i="6" s="1"/>
  <c r="L6" i="6"/>
  <c r="M6" i="6" s="1"/>
  <c r="L5" i="6"/>
  <c r="M5" i="6" s="1"/>
  <c r="J47" i="6"/>
  <c r="N47" i="6" s="1"/>
  <c r="J46" i="6"/>
  <c r="N46" i="6" s="1"/>
  <c r="J45" i="6"/>
  <c r="J44" i="6"/>
  <c r="N43" i="6"/>
  <c r="J41" i="6"/>
  <c r="J40" i="6"/>
  <c r="K40" i="6" s="1"/>
  <c r="J39" i="6"/>
  <c r="J38" i="6"/>
  <c r="K38" i="6" s="1"/>
  <c r="J37" i="6"/>
  <c r="K37" i="6" s="1"/>
  <c r="J36" i="6"/>
  <c r="J31" i="6"/>
  <c r="N31" i="6" s="1"/>
  <c r="J30" i="6"/>
  <c r="J29" i="6"/>
  <c r="N28" i="6"/>
  <c r="J26" i="6"/>
  <c r="K26" i="6" s="1"/>
  <c r="J25" i="6"/>
  <c r="J24" i="6"/>
  <c r="K24" i="6" s="1"/>
  <c r="J23" i="6"/>
  <c r="J22" i="6"/>
  <c r="K22" i="6" s="1"/>
  <c r="J21" i="6"/>
  <c r="K21" i="6" s="1"/>
  <c r="J15" i="6"/>
  <c r="N15" i="6" s="1"/>
  <c r="J14" i="6"/>
  <c r="J13" i="6"/>
  <c r="N12" i="6"/>
  <c r="J10" i="6"/>
  <c r="J9" i="6"/>
  <c r="K9" i="6" s="1"/>
  <c r="J8" i="6"/>
  <c r="K8" i="6" s="1"/>
  <c r="J7" i="6"/>
  <c r="J6" i="6"/>
  <c r="K6" i="6" s="1"/>
  <c r="J5" i="6"/>
  <c r="G46" i="6"/>
  <c r="G45" i="6"/>
  <c r="G44" i="6"/>
  <c r="G43" i="6"/>
  <c r="G42" i="6"/>
  <c r="G41" i="6"/>
  <c r="G40" i="6"/>
  <c r="G39" i="6"/>
  <c r="G38" i="6"/>
  <c r="G37" i="6"/>
  <c r="G36" i="6"/>
  <c r="G31" i="6"/>
  <c r="G30" i="6"/>
  <c r="G29" i="6"/>
  <c r="G28" i="6"/>
  <c r="G27" i="6"/>
  <c r="G26" i="6"/>
  <c r="G25" i="6"/>
  <c r="G24" i="6"/>
  <c r="G23" i="6"/>
  <c r="G22" i="6"/>
  <c r="G21" i="6"/>
  <c r="G15" i="6"/>
  <c r="G14" i="6"/>
  <c r="G12" i="6"/>
  <c r="G10" i="6"/>
  <c r="G9" i="6"/>
  <c r="G8" i="6"/>
  <c r="G7" i="6"/>
  <c r="G6" i="6"/>
  <c r="G5" i="6"/>
  <c r="G49" i="6" l="1"/>
  <c r="G18" i="6"/>
  <c r="U18" i="6"/>
  <c r="S18" i="6"/>
  <c r="S33" i="6"/>
  <c r="U33" i="6"/>
  <c r="N29" i="6"/>
  <c r="O29" i="6" s="1"/>
  <c r="K29" i="6"/>
  <c r="P10" i="6"/>
  <c r="Q10" i="6" s="1"/>
  <c r="M10" i="6"/>
  <c r="P26" i="6"/>
  <c r="Q26" i="6" s="1"/>
  <c r="M26" i="6"/>
  <c r="N14" i="6"/>
  <c r="O14" i="6" s="1"/>
  <c r="K14" i="6"/>
  <c r="N13" i="6"/>
  <c r="O13" i="6" s="1"/>
  <c r="K13" i="6"/>
  <c r="N30" i="6"/>
  <c r="O30" i="6" s="1"/>
  <c r="K30" i="6"/>
  <c r="N45" i="6"/>
  <c r="O45" i="6" s="1"/>
  <c r="K45" i="6"/>
  <c r="N5" i="6"/>
  <c r="O5" i="6" s="1"/>
  <c r="K5" i="6"/>
  <c r="N36" i="6"/>
  <c r="O36" i="6" s="1"/>
  <c r="K36" i="6"/>
  <c r="N23" i="6"/>
  <c r="O23" i="6" s="1"/>
  <c r="K23" i="6"/>
  <c r="N39" i="6"/>
  <c r="O39" i="6" s="1"/>
  <c r="K39" i="6"/>
  <c r="N44" i="6"/>
  <c r="O44" i="6" s="1"/>
  <c r="O49" i="6" s="1"/>
  <c r="K44" i="6"/>
  <c r="K49" i="6" s="1"/>
  <c r="N7" i="6"/>
  <c r="O7" i="6" s="1"/>
  <c r="K7" i="6"/>
  <c r="P37" i="6"/>
  <c r="Q37" i="6" s="1"/>
  <c r="M37" i="6"/>
  <c r="P23" i="6"/>
  <c r="Q23" i="6" s="1"/>
  <c r="M23" i="6"/>
  <c r="P38" i="6"/>
  <c r="Q38" i="6" s="1"/>
  <c r="M38" i="6"/>
  <c r="N25" i="6"/>
  <c r="O25" i="6" s="1"/>
  <c r="K25" i="6"/>
  <c r="P8" i="6"/>
  <c r="Q8" i="6" s="1"/>
  <c r="M8" i="6"/>
  <c r="P24" i="6"/>
  <c r="Q24" i="6" s="1"/>
  <c r="M24" i="6"/>
  <c r="P39" i="6"/>
  <c r="Q39" i="6" s="1"/>
  <c r="M39" i="6"/>
  <c r="N10" i="6"/>
  <c r="O10" i="6" s="1"/>
  <c r="K10" i="6"/>
  <c r="N41" i="6"/>
  <c r="O41" i="6" s="1"/>
  <c r="K41" i="6"/>
  <c r="P9" i="6"/>
  <c r="Q9" i="6" s="1"/>
  <c r="M9" i="6"/>
  <c r="P25" i="6"/>
  <c r="Q25" i="6" s="1"/>
  <c r="M25" i="6"/>
  <c r="P40" i="6"/>
  <c r="Q40" i="6" s="1"/>
  <c r="M40" i="6"/>
  <c r="N21" i="6"/>
  <c r="O21" i="6" s="1"/>
  <c r="P14" i="6"/>
  <c r="Q14" i="6" s="1"/>
  <c r="P45" i="6"/>
  <c r="Q45" i="6" s="1"/>
  <c r="P5" i="6"/>
  <c r="Q5" i="6" s="1"/>
  <c r="N6" i="6"/>
  <c r="O6" i="6" s="1"/>
  <c r="P22" i="6"/>
  <c r="Q22" i="6" s="1"/>
  <c r="N22" i="6"/>
  <c r="O22" i="6" s="1"/>
  <c r="T47" i="6"/>
  <c r="P44" i="6"/>
  <c r="Q44" i="6" s="1"/>
  <c r="Q49" i="6" s="1"/>
  <c r="R47" i="6"/>
  <c r="P6" i="6"/>
  <c r="Q6" i="6" s="1"/>
  <c r="P29" i="6"/>
  <c r="Q29" i="6" s="1"/>
  <c r="P30" i="6"/>
  <c r="Q30" i="6" s="1"/>
  <c r="N37" i="6"/>
  <c r="O37" i="6" s="1"/>
  <c r="P13" i="6"/>
  <c r="Q13" i="6" s="1"/>
  <c r="P36" i="6"/>
  <c r="Q36" i="6" s="1"/>
  <c r="N38" i="6"/>
  <c r="O38" i="6" s="1"/>
  <c r="P41" i="6"/>
  <c r="Q41" i="6" s="1"/>
  <c r="P21" i="6"/>
  <c r="Q21" i="6" s="1"/>
  <c r="N24" i="6"/>
  <c r="O24" i="6" s="1"/>
  <c r="N8" i="6"/>
  <c r="O8" i="6" s="1"/>
  <c r="N9" i="6"/>
  <c r="O9" i="6" s="1"/>
  <c r="N40" i="6"/>
  <c r="O40" i="6" s="1"/>
  <c r="N26" i="6"/>
  <c r="O26" i="6" s="1"/>
  <c r="P7" i="6"/>
  <c r="Q7" i="6" s="1"/>
  <c r="G33" i="6"/>
  <c r="M33" i="6" l="1"/>
  <c r="M18" i="6"/>
  <c r="Q18" i="6"/>
  <c r="K18" i="6"/>
  <c r="O18" i="6"/>
  <c r="K33" i="6"/>
  <c r="O33" i="6"/>
  <c r="Q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Zhou</author>
    <author>tc={272C7E2E-52C0-7B4B-9E88-219AD1D037D9}</author>
    <author>Pengxiao Zhou</author>
  </authors>
  <commentList>
    <comment ref="C11" authorId="0" shapeId="0" xr:uid="{5CFA672D-2C8C-CD4B-B21C-E50825E5DFEA}">
      <text>
        <r>
          <rPr>
            <b/>
            <sz val="10"/>
            <color rgb="FF000000"/>
            <rFont val="Tahoma"/>
            <family val="2"/>
          </rPr>
          <t>Paul Zhou: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0.3478+2.0690
upstream+combustion</t>
        </r>
      </text>
    </comment>
    <comment ref="F47" authorId="1" shapeId="0" xr:uid="{272C7E2E-52C0-7B4B-9E88-219AD1D037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historical value from 2023</t>
      </text>
    </comment>
    <comment ref="H47" authorId="2" shapeId="0" xr:uid="{BCF15FEB-9AD1-964C-B2B7-4E677473E042}">
      <text>
        <r>
          <rPr>
            <b/>
            <sz val="10"/>
            <color rgb="FF000000"/>
            <rFont val="Tahoma"/>
            <family val="2"/>
          </rPr>
          <t>Irrigation water quantity 95% CI: 10–90% quantile of production-share uncertainty and 25–75% residual error. Pedigree data-quality uncertainty (GSD₉₅ = 1.42) is combined in quadrature in the contribution columns — see helper block AA45:AH47.</t>
        </r>
      </text>
    </comment>
    <comment ref="AE47" authorId="2" shapeId="0" xr:uid="{7BCD12DC-12AB-024B-9E1C-6608C3CDF207}">
      <text>
        <r>
          <rPr>
            <b/>
            <sz val="10"/>
            <color rgb="FF000000"/>
            <rFont val="Tahoma"/>
            <family val="2"/>
          </rPr>
          <t>Pengxiao Zhou:</t>
        </r>
        <r>
          <rPr>
            <sz val="10"/>
            <color rgb="FF000000"/>
            <rFont val="Tahoma"/>
            <family val="2"/>
          </rPr>
          <t xml:space="preserve">
Pedigree-matrix data-quality uncertainty for irrigation water, GSD₉₅ = 1.42.</t>
        </r>
      </text>
    </comment>
  </commentList>
</comments>
</file>

<file path=xl/sharedStrings.xml><?xml version="1.0" encoding="utf-8"?>
<sst xmlns="http://schemas.openxmlformats.org/spreadsheetml/2006/main" count="3166" uniqueCount="193">
  <si>
    <t>herbicide(1kg)</t>
  </si>
  <si>
    <t>insecticides(1kg)</t>
  </si>
  <si>
    <t>p2o5(1kg)</t>
  </si>
  <si>
    <t>potassium(1kg)</t>
  </si>
  <si>
    <t>calcium carbonate(1kg)</t>
  </si>
  <si>
    <t>nitrogen(1kg)</t>
  </si>
  <si>
    <t>natural gas (1m3)</t>
  </si>
  <si>
    <t>electricity( 1kwh)</t>
  </si>
  <si>
    <t>diesel with stationary (L)</t>
  </si>
  <si>
    <t>sulfur(1kg)</t>
  </si>
  <si>
    <t>Emissions</t>
  </si>
  <si>
    <t>Well to Use</t>
  </si>
  <si>
    <t>CO2 Total</t>
  </si>
  <si>
    <t>kg</t>
  </si>
  <si>
    <t>g</t>
  </si>
  <si>
    <t>CO2</t>
  </si>
  <si>
    <t>CO2_Biogenic</t>
  </si>
  <si>
    <t>VOC</t>
  </si>
  <si>
    <t>mg</t>
  </si>
  <si>
    <t>CO</t>
  </si>
  <si>
    <t>NOx</t>
  </si>
  <si>
    <t>PM10</t>
  </si>
  <si>
    <t>PM2.5</t>
  </si>
  <si>
    <t>SOx</t>
  </si>
  <si>
    <t>CH4</t>
  </si>
  <si>
    <t>N2O</t>
  </si>
  <si>
    <t>BC</t>
  </si>
  <si>
    <t>ug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</si>
  <si>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</si>
  <si>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</si>
  <si>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</si>
  <si>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</si>
  <si>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</si>
  <si>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</si>
  <si>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</si>
  <si>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</si>
  <si>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MJ</t>
  </si>
  <si>
    <t>kJ</t>
  </si>
  <si>
    <t>Water Total</t>
  </si>
  <si>
    <t>cm^3</t>
  </si>
  <si>
    <t>Water_Reservoir Evaporation</t>
  </si>
  <si>
    <t>Water_Mining</t>
  </si>
  <si>
    <t>Water_Process</t>
  </si>
  <si>
    <t>Water</t>
  </si>
  <si>
    <t>Water_Cooling</t>
  </si>
  <si>
    <t>Crude Oil</t>
  </si>
  <si>
    <t>J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</si>
  <si>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</si>
  <si>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</si>
  <si>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</si>
  <si>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</si>
  <si>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</si>
  <si>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</si>
  <si>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</si>
  <si>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</si>
  <si>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</si>
  <si>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</si>
  <si>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</si>
  <si>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</si>
  <si>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</si>
  <si>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</si>
  <si>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</si>
  <si>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</si>
  <si>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mJ</t>
  </si>
  <si>
    <t>Natural Gas Raw</t>
  </si>
  <si>
    <t>...</t>
  </si>
  <si>
    <t>Fossil Fuel</t>
  </si>
  <si>
    <t>Natural Gas Fuel</t>
  </si>
  <si>
    <t>Petroleum Fuel</t>
  </si>
  <si>
    <t>Coal Fuel</t>
  </si>
  <si>
    <t>Non Fossil Fuel</t>
  </si>
  <si>
    <t>Renewable</t>
  </si>
  <si>
    <t>Nuclear</t>
  </si>
  <si>
    <t>Biomass</t>
  </si>
  <si>
    <t>Urban Emissions</t>
  </si>
  <si>
    <t>calcium carbonate (1kg)</t>
  </si>
  <si>
    <t>nitrogen (1kg)</t>
  </si>
  <si>
    <t>diesel with stationary(L)</t>
  </si>
  <si>
    <t>Table 1. Life cycle inventory (LCI) data for the production of 1,000 kg cotton lint under four scenarios</t>
  </si>
  <si>
    <t>Input</t>
  </si>
  <si>
    <t>Unit</t>
  </si>
  <si>
    <t>S1</t>
  </si>
  <si>
    <t>S2</t>
  </si>
  <si>
    <t>S3</t>
  </si>
  <si>
    <t>S4</t>
  </si>
  <si>
    <t>Current (2025)</t>
  </si>
  <si>
    <t>2049, evolving background</t>
  </si>
  <si>
    <t>2049, full electrification (11 kWh/L diesel)</t>
  </si>
  <si>
    <t>2049, full electrification (4.4 kWh/L diesel)</t>
  </si>
  <si>
    <t>Herbicide</t>
  </si>
  <si>
    <t>Insecticide</t>
  </si>
  <si>
    <t>Phosphorus (P₂O₅)</t>
  </si>
  <si>
    <t>Potassium (K₂O)</t>
  </si>
  <si>
    <t>Calcium carbonate</t>
  </si>
  <si>
    <t>Sulfur</t>
  </si>
  <si>
    <t>Nitrogen (N)</t>
  </si>
  <si>
    <t>Natural gas a</t>
  </si>
  <si>
    <t>m³</t>
  </si>
  <si>
    <t>3.4 – 17.9</t>
  </si>
  <si>
    <t>Electricity (field operations) b</t>
  </si>
  <si>
    <t>kWh</t>
  </si>
  <si>
    <t>Diesel</t>
  </si>
  <si>
    <t>L</t>
  </si>
  <si>
    <t>Electricity (ginning) b</t>
  </si>
  <si>
    <t>158.5 – 181.4</t>
  </si>
  <si>
    <t>194.2 – 369.4</t>
  </si>
  <si>
    <t>Irrigation water</t>
  </si>
  <si>
    <t>S1 Contribution</t>
  </si>
  <si>
    <t>S2 Contribution</t>
  </si>
  <si>
    <t>S3 Contribution</t>
  </si>
  <si>
    <t>S4 Contribution</t>
  </si>
  <si>
    <t>GHG-100 (Climate change) [kg CO₂eq]</t>
  </si>
  <si>
    <t>P₂O₅</t>
  </si>
  <si>
    <t>Potassium</t>
  </si>
  <si>
    <t>CaCO₃</t>
  </si>
  <si>
    <t>Nitrogen</t>
  </si>
  <si>
    <t>Natural gas</t>
  </si>
  <si>
    <t>Electricity (field ops.)</t>
  </si>
  <si>
    <t>Electricity (ginning)</t>
  </si>
  <si>
    <t>SUBTOTAL</t>
  </si>
  <si>
    <t>Fossil resource use [MJ]</t>
  </si>
  <si>
    <t>Water consumption [m³]</t>
  </si>
  <si>
    <t>N/A</t>
  </si>
  <si>
    <t>EF = emission factor per unit of input. Contribution = Quantity × EF. Water EFs in L/unit; contributions converted to m³ (÷1,000). GHG EFs for CaCO₃ and Sulfur originally in g CO₂eq, converted to kg (÷1,000). Resource EFs for Potassium, CaCO₃, Electricity and Sulfur originally in kJ, converted to MJ (÷1,000).</t>
  </si>
  <si>
    <t>S5 Contribution</t>
  </si>
  <si>
    <t>S6 Contribution</t>
  </si>
  <si>
    <t>S7 Contribution</t>
  </si>
  <si>
    <t>S8 Contribution</t>
  </si>
  <si>
    <t>kg CO₂eq/kg</t>
  </si>
  <si>
    <t>kg CO₂eq/m³</t>
  </si>
  <si>
    <t>kg CO₂eq/kWh</t>
  </si>
  <si>
    <t>kg CO₂eq/L</t>
  </si>
  <si>
    <t>MJ/kg</t>
  </si>
  <si>
    <t>MJ/m³</t>
  </si>
  <si>
    <t>MJ/kWh</t>
  </si>
  <si>
    <t>MJ/L</t>
  </si>
  <si>
    <t>L/kg</t>
  </si>
  <si>
    <t>L/m³</t>
  </si>
  <si>
    <t>L/kWh</t>
  </si>
  <si>
    <t>L/L</t>
  </si>
  <si>
    <t>EF (2025)</t>
  </si>
  <si>
    <t>EF Unit</t>
  </si>
  <si>
    <t>EF (2049)</t>
  </si>
  <si>
    <t>S2 – Baseline (2049)</t>
  </si>
  <si>
    <t>S3 – 25% Diesel Electrified, High Conv. (2049)</t>
  </si>
  <si>
    <t>S4 – 25% Diesel Electrified, Low Conv. (2049)</t>
  </si>
  <si>
    <t>S5 – 25% Diesel Electrified, High Conv., Renewable (2049)</t>
  </si>
  <si>
    <t>S6 – 25% Diesel Electrified, Low Conv., Renewable (2049)</t>
  </si>
  <si>
    <t>Electricity delivered from grid-connected PV plus battery system</t>
  </si>
  <si>
    <t>S7 – Extreme Full Electrification (No Diesel), High Conv., Renewable (Post 2049)</t>
  </si>
  <si>
    <t>S8 – Extreme Full Electrification (No Diesel), Low Conv., Renewable (Post 2049)</t>
  </si>
  <si>
    <t>S1: Current (2025). S2: Baseline (2049). S3: 25% diesel electrified, high conversion (11 kWh/L). S4: 25% diesel electrified, low conversion (4.4 kWh/L). S5: S3 + renewable electricity. S6: S4 + renewable electricity. S7: Extreme full electrification (no diesel), high conversion (11 kWh/L), renewable electricity. S8: Extreme full electrification (no diesel), low conversion (4.4 kWh/L), renewable electricity. All scenarios: 1 m³ nat. gas → 10.5 kWh. Functional unit: 1,000 kg cotton lint.</t>
  </si>
  <si>
    <t>Emission Factor (2025 &amp; 2049)</t>
  </si>
  <si>
    <t>Utility/ Industrial Boiler (&gt;100 mmBtu/hr input)</t>
  </si>
  <si>
    <t>OC</t>
  </si>
  <si>
    <t>natural gas</t>
  </si>
  <si>
    <t>Farming Tractor</t>
  </si>
  <si>
    <t>diesel</t>
  </si>
  <si>
    <t>1) Emission Factors of Fuel Combustion for Stationary Applications (grams per mmBtu of fuel burned)</t>
  </si>
  <si>
    <r>
      <t>U</t>
    </r>
    <r>
      <rPr>
        <sz val="10"/>
        <color rgb="FF000000"/>
        <rFont val="Arial"/>
        <family val="2"/>
        <scheme val="minor"/>
      </rPr>
      <t>.S. conventional diesel</t>
    </r>
  </si>
  <si>
    <t>LHV (Btu/gal)</t>
  </si>
  <si>
    <t>Gaseous Fuels (at 32F and 1atm):</t>
  </si>
  <si>
    <t>Btu/ft3</t>
  </si>
  <si>
    <t>Btu/liter</t>
  </si>
  <si>
    <t>Btu/m³</t>
  </si>
  <si>
    <t>1) Emission Factors of Fuel Combustion for Stationary Applications (grams per liter or m3 of fuel burned)</t>
  </si>
  <si>
    <t>ghg</t>
  </si>
  <si>
    <t>S1 Qty per 1,000 kg cotton lint</t>
  </si>
  <si>
    <t>S2 Qty per 1,000 kg cotton lint</t>
  </si>
  <si>
    <t>S3 Qty per 1,000 kg cotton lint</t>
  </si>
  <si>
    <t>S4 Qty per 1,000 kg cotton lint</t>
  </si>
  <si>
    <t>S5 Qty per 1,000 kg cotton lint</t>
  </si>
  <si>
    <t>S6 Qty per 1,000 kg cotton lint</t>
  </si>
  <si>
    <t>S7 Qty per 1,000 kg cotton lint</t>
  </si>
  <si>
    <t>S8 Qty per 1,000 kg cotton lint</t>
  </si>
  <si>
    <t>N2O emission from fertilizer</t>
  </si>
  <si>
    <t>0.2 - 3.7</t>
  </si>
  <si>
    <t>S9 – Baseline+on site solar PV (2049)</t>
  </si>
  <si>
    <t>S10 Qty per 1,000 kg cotton lint</t>
  </si>
  <si>
    <t>S10 Contribution</t>
  </si>
  <si>
    <t>787.9 – 1531.3</t>
  </si>
  <si>
    <t>Irrigation water — combination of quantity CI with pedigree data-quality uncertainty (2049 scenarios)</t>
  </si>
  <si>
    <t>Range low (m³)</t>
  </si>
  <si>
    <t>Range high (m³)</t>
  </si>
  <si>
    <t>Geometric mean</t>
  </si>
  <si>
    <t>k₉₅ (quantity)</t>
  </si>
  <si>
    <t>GSD₉₅ (pedigree)</t>
  </si>
  <si>
    <t>k₉₅ combined</t>
  </si>
  <si>
    <t>Combined low</t>
  </si>
  <si>
    <t>Combined high</t>
  </si>
  <si>
    <t>Ranges reflect uncertainty in natural gas use (3.4–17.9 m³) and ginning electricity (158.5–181.4 kWh). All 2049 scenarios: natural gas fully converted to electricity (1 m³ → 10.5 kWh). S3–S6: 25% of diesel electrified, 75% retained. S5/S6: renewable electricity (EF = 0). S7/S8: 100% diesel and natural gas electrified. EFs from LCI 2025 (S1) and LCI 2049 (S2–S8). Irrigation water: 2025 (S1) uses 967.5 m³ with a pedigree-matrix 95% CI (GSD₉₅ = 1.42). 2049 scenarios use a quantity 95% CI of 787.9–1531.3 m³ (10–90% quantile of production-share uncertainty and 25–75% residual error; geometric mean 1,098.4 m³, k₉₅ = 1.394) combined in quadrature with the pedigree data-quality uncertainty (GSD₉₅ = 1.42), giving k₉₅ = 1.621 and a reported range of 677.6–1,780.6 m³. Combination: k_total = exp(√(ln²k_qty + ln²GSD_pedigree)).</t>
  </si>
  <si>
    <t>S1 – Current (current)</t>
  </si>
  <si>
    <t>S10 – Baseline + Onsite Solar PV (current)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</si>
</sst>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0"/>
    <numFmt numFmtId="166" formatCode="#,##0.0000"/>
    <numFmt numFmtId="167" formatCode="#,##0.0"/>
    <numFmt numFmtId="168" formatCode="0.000"/>
  </numFmts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i/>
      <sz val="9"/>
      <color rgb="FF000000"/>
      <name val="Arial"/>
      <family val="2"/>
      <scheme val="minor"/>
    </font>
    <font>
      <b/>
      <sz val="8.5"/>
      <color rgb="FF000000"/>
      <name val="Arial"/>
      <family val="2"/>
      <scheme val="minor"/>
    </font>
    <font>
      <sz val="8.5"/>
      <color rgb="FF000000"/>
      <name val="Arial"/>
      <family val="2"/>
      <scheme val="minor"/>
    </font>
    <font>
      <b/>
      <i/>
      <sz val="8.5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7.5"/>
      <color rgb="FF33333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  <font>
      <b/>
      <sz val="11"/>
      <name val="Arial"/>
      <family val="2"/>
    </font>
    <font>
      <b/>
      <sz val="10"/>
      <color rgb="FF000000"/>
      <name val="Tahoma"/>
      <family val="2"/>
    </font>
    <font>
      <sz val="10"/>
      <color rgb="FF0000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999999"/>
      </left>
      <right/>
      <top style="thick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ck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/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0" fontId="5" fillId="3" borderId="2" xfId="0" applyFont="1" applyFill="1" applyBorder="1" applyAlignment="1">
      <alignment horizontal="center" wrapText="1"/>
    </xf>
    <xf numFmtId="0" fontId="5" fillId="4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" fillId="6" borderId="0" xfId="0" applyFont="1" applyFill="1"/>
    <xf numFmtId="0" fontId="0" fillId="6" borderId="0" xfId="0" applyFill="1"/>
    <xf numFmtId="164" fontId="2" fillId="5" borderId="3" xfId="0" applyNumberFormat="1" applyFont="1" applyFill="1" applyBorder="1" applyAlignment="1">
      <alignment horizontal="center"/>
    </xf>
    <xf numFmtId="11" fontId="2" fillId="0" borderId="0" xfId="0" applyNumberFormat="1" applyFont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165" fontId="8" fillId="4" borderId="0" xfId="0" applyNumberFormat="1" applyFont="1" applyFill="1" applyAlignment="1">
      <alignment horizontal="center" vertical="center"/>
    </xf>
    <xf numFmtId="166" fontId="8" fillId="4" borderId="0" xfId="0" applyNumberFormat="1" applyFont="1" applyFill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10" fillId="4" borderId="21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0" fillId="0" borderId="19" xfId="0" applyBorder="1"/>
    <xf numFmtId="0" fontId="16" fillId="0" borderId="0" xfId="0" applyFont="1"/>
    <xf numFmtId="43" fontId="14" fillId="0" borderId="19" xfId="1" applyFont="1" applyFill="1" applyBorder="1" applyAlignment="1"/>
    <xf numFmtId="0" fontId="13" fillId="0" borderId="24" xfId="0" applyFont="1" applyBorder="1"/>
    <xf numFmtId="43" fontId="13" fillId="0" borderId="24" xfId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4" fontId="0" fillId="0" borderId="0" xfId="0" applyNumberFormat="1"/>
    <xf numFmtId="4" fontId="2" fillId="0" borderId="0" xfId="0" applyNumberFormat="1" applyFont="1"/>
    <xf numFmtId="0" fontId="8" fillId="4" borderId="1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0" fontId="8" fillId="0" borderId="0" xfId="0" applyFont="1" applyAlignment="1">
      <alignment horizontal="center"/>
    </xf>
    <xf numFmtId="167" fontId="0" fillId="0" borderId="0" xfId="0" applyNumberFormat="1"/>
    <xf numFmtId="168" fontId="0" fillId="0" borderId="0" xfId="0" applyNumberFormat="1"/>
    <xf numFmtId="2" fontId="18" fillId="0" borderId="0" xfId="0" applyNumberFormat="1" applyFont="1"/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0" fontId="9" fillId="5" borderId="16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Pengxiao Zhou" id="{8B49D96D-7035-B948-A2FD-AE156A04A8C4}" userId="S::cenv1240@ox.ac.uk::b7f414b2-3de4-459b-b47d-4cf08ba60d5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7" dT="2026-09-22T12:46:46.80" personId="{8B49D96D-7035-B948-A2FD-AE156A04A8C4}" id="{272C7E2E-52C0-7B4B-9E88-219AD1D037D9}">
    <text>historical value from 2023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59665F-9D81-1C42-A946-2F1EDA90D4F3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59e4294d-ef69-49d5-81aa-47785727182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79"/>
  <sheetViews>
    <sheetView topLeftCell="U1" zoomScale="125" workbookViewId="0">
      <selection activeCell="AE14" sqref="AE14"/>
    </sheetView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  <c r="S1" s="1" t="s">
        <v>6</v>
      </c>
      <c r="V1" s="1" t="s">
        <v>7</v>
      </c>
      <c r="Y1" s="3" t="s">
        <v>8</v>
      </c>
      <c r="Z1" s="3"/>
      <c r="AA1" s="3"/>
      <c r="AB1" s="1" t="s">
        <v>9</v>
      </c>
    </row>
    <row r="2" spans="1:30" ht="15.75" customHeight="1" x14ac:dyDescent="0.15">
      <c r="Y2" s="3"/>
      <c r="Z2" s="3"/>
      <c r="AA2" s="3"/>
    </row>
    <row r="3" spans="1:30" ht="15.75" customHeight="1" x14ac:dyDescent="0.15">
      <c r="A3" s="1" t="s">
        <v>10</v>
      </c>
      <c r="D3" s="1" t="s">
        <v>10</v>
      </c>
      <c r="G3" s="1" t="s">
        <v>10</v>
      </c>
      <c r="J3" s="1" t="s">
        <v>10</v>
      </c>
      <c r="M3" s="1" t="s">
        <v>10</v>
      </c>
      <c r="P3" s="1" t="s">
        <v>10</v>
      </c>
      <c r="S3" s="1" t="s">
        <v>10</v>
      </c>
      <c r="V3" s="1" t="s">
        <v>10</v>
      </c>
      <c r="Y3" s="3" t="s">
        <v>10</v>
      </c>
      <c r="Z3" s="3"/>
      <c r="AA3" s="3"/>
      <c r="AB3" s="1" t="s">
        <v>10</v>
      </c>
    </row>
    <row r="4" spans="1:30" ht="15.75" customHeight="1" x14ac:dyDescent="0.15">
      <c r="A4" s="1" t="s">
        <v>11</v>
      </c>
      <c r="D4" s="1" t="s">
        <v>11</v>
      </c>
      <c r="G4" s="1" t="s">
        <v>11</v>
      </c>
      <c r="J4" s="1" t="s">
        <v>11</v>
      </c>
      <c r="M4" s="1" t="s">
        <v>11</v>
      </c>
      <c r="P4" s="1" t="s">
        <v>11</v>
      </c>
      <c r="S4" s="1" t="s">
        <v>11</v>
      </c>
      <c r="V4" s="1" t="s">
        <v>11</v>
      </c>
      <c r="Y4" s="3" t="s">
        <v>11</v>
      </c>
      <c r="Z4" s="3"/>
      <c r="AA4" s="3"/>
      <c r="AB4" s="1" t="s">
        <v>11</v>
      </c>
    </row>
    <row r="5" spans="1:30" ht="15.75" customHeight="1" x14ac:dyDescent="0.15">
      <c r="A5" s="1" t="s">
        <v>10</v>
      </c>
      <c r="D5" s="1" t="s">
        <v>10</v>
      </c>
      <c r="G5" s="1" t="s">
        <v>10</v>
      </c>
      <c r="J5" s="1" t="s">
        <v>10</v>
      </c>
      <c r="M5" s="1" t="s">
        <v>10</v>
      </c>
      <c r="P5" s="1" t="s">
        <v>10</v>
      </c>
      <c r="S5" s="1" t="s">
        <v>10</v>
      </c>
      <c r="V5" s="1" t="s">
        <v>10</v>
      </c>
      <c r="Y5" s="3" t="s">
        <v>10</v>
      </c>
      <c r="Z5" s="3"/>
      <c r="AA5" s="3"/>
      <c r="AB5" s="1" t="s">
        <v>10</v>
      </c>
    </row>
    <row r="6" spans="1:30" ht="15.75" customHeight="1" x14ac:dyDescent="0.15">
      <c r="A6" s="1" t="s">
        <v>12</v>
      </c>
      <c r="B6" s="1">
        <v>22.134599999999999</v>
      </c>
      <c r="C6" s="1" t="s">
        <v>13</v>
      </c>
      <c r="D6" s="1" t="s">
        <v>12</v>
      </c>
      <c r="E6" s="1">
        <v>19.4376</v>
      </c>
      <c r="F6" s="1" t="s">
        <v>13</v>
      </c>
      <c r="G6" s="1" t="s">
        <v>12</v>
      </c>
      <c r="H6" s="1">
        <v>1.573</v>
      </c>
      <c r="I6" s="1" t="s">
        <v>13</v>
      </c>
      <c r="J6" s="1" t="s">
        <v>12</v>
      </c>
      <c r="K6" s="1">
        <v>0.42930000000000001</v>
      </c>
      <c r="L6" s="1" t="s">
        <v>13</v>
      </c>
      <c r="M6" s="1" t="s">
        <v>12</v>
      </c>
      <c r="N6" s="1">
        <v>8.3836999999999993</v>
      </c>
      <c r="O6" s="1" t="s">
        <v>14</v>
      </c>
      <c r="P6" s="1" t="s">
        <v>12</v>
      </c>
      <c r="Q6" s="1">
        <v>2.5876000000000001</v>
      </c>
      <c r="R6" s="1" t="s">
        <v>13</v>
      </c>
      <c r="S6" s="1" t="s">
        <v>12</v>
      </c>
      <c r="T6" s="1">
        <v>0.1699</v>
      </c>
      <c r="U6" s="1" t="s">
        <v>13</v>
      </c>
      <c r="V6" s="1" t="s">
        <v>12</v>
      </c>
      <c r="W6" s="1">
        <v>0.37109999999999999</v>
      </c>
      <c r="X6" s="1" t="s">
        <v>13</v>
      </c>
      <c r="Y6" s="3" t="s">
        <v>12</v>
      </c>
      <c r="Z6" s="3">
        <v>3.0337000000000001</v>
      </c>
      <c r="AA6" s="3" t="s">
        <v>13</v>
      </c>
      <c r="AB6" s="1" t="s">
        <v>12</v>
      </c>
      <c r="AC6" s="1">
        <v>30.040700000000001</v>
      </c>
      <c r="AD6" s="1" t="s">
        <v>14</v>
      </c>
    </row>
    <row r="7" spans="1:30" ht="15.75" customHeight="1" x14ac:dyDescent="0.15">
      <c r="A7" s="1" t="s">
        <v>15</v>
      </c>
      <c r="B7" s="1">
        <v>22.459</v>
      </c>
      <c r="C7" s="1" t="s">
        <v>13</v>
      </c>
      <c r="D7" s="1" t="s">
        <v>15</v>
      </c>
      <c r="E7" s="1">
        <v>19.5807</v>
      </c>
      <c r="F7" s="1" t="s">
        <v>13</v>
      </c>
      <c r="G7" s="1" t="s">
        <v>15</v>
      </c>
      <c r="H7" s="1">
        <v>1.5814999999999999</v>
      </c>
      <c r="I7" s="1" t="s">
        <v>13</v>
      </c>
      <c r="J7" s="1" t="s">
        <v>15</v>
      </c>
      <c r="K7" s="1">
        <v>0.43559999999999999</v>
      </c>
      <c r="L7" s="1" t="s">
        <v>13</v>
      </c>
      <c r="M7" s="1" t="s">
        <v>15</v>
      </c>
      <c r="N7" s="1">
        <v>8.3886000000000003</v>
      </c>
      <c r="O7" s="1" t="s">
        <v>14</v>
      </c>
      <c r="P7" s="1" t="s">
        <v>15</v>
      </c>
      <c r="Q7" s="1">
        <v>2.5931000000000002</v>
      </c>
      <c r="R7" s="1" t="s">
        <v>13</v>
      </c>
      <c r="S7" s="1" t="s">
        <v>15</v>
      </c>
      <c r="T7" s="1">
        <v>0.17</v>
      </c>
      <c r="U7" s="1" t="s">
        <v>13</v>
      </c>
      <c r="V7" s="1" t="s">
        <v>15</v>
      </c>
      <c r="W7" s="1">
        <v>0.38290000000000002</v>
      </c>
      <c r="X7" s="1" t="s">
        <v>13</v>
      </c>
      <c r="Y7" s="3" t="s">
        <v>15</v>
      </c>
      <c r="Z7" s="3">
        <v>3.0352000000000001</v>
      </c>
      <c r="AA7" s="3" t="s">
        <v>13</v>
      </c>
      <c r="AB7" s="1" t="s">
        <v>15</v>
      </c>
      <c r="AC7" s="1">
        <v>30.803000000000001</v>
      </c>
      <c r="AD7" s="1" t="s">
        <v>14</v>
      </c>
    </row>
    <row r="8" spans="1:30" ht="15.75" customHeight="1" x14ac:dyDescent="0.15">
      <c r="A8" s="1" t="s">
        <v>16</v>
      </c>
      <c r="B8" s="1">
        <v>-0.32440000000000002</v>
      </c>
      <c r="C8" s="1" t="s">
        <v>13</v>
      </c>
      <c r="D8" s="1" t="s">
        <v>16</v>
      </c>
      <c r="E8" s="2">
        <v>-0.1431</v>
      </c>
      <c r="F8" s="1" t="s">
        <v>13</v>
      </c>
      <c r="G8" s="1" t="s">
        <v>16</v>
      </c>
      <c r="H8" s="1">
        <v>-8.5000000000000006E-3</v>
      </c>
      <c r="I8" s="1" t="s">
        <v>13</v>
      </c>
      <c r="J8" s="1" t="s">
        <v>16</v>
      </c>
      <c r="K8" s="1">
        <v>-6.3E-3</v>
      </c>
      <c r="L8" s="1" t="s">
        <v>13</v>
      </c>
      <c r="M8" s="1" t="s">
        <v>16</v>
      </c>
      <c r="N8" s="2">
        <v>-4.8327999999999997E-6</v>
      </c>
      <c r="O8" s="1" t="s">
        <v>13</v>
      </c>
      <c r="P8" s="1" t="s">
        <v>16</v>
      </c>
      <c r="Q8" s="1">
        <v>-5.4999999999999997E-3</v>
      </c>
      <c r="R8" s="1" t="s">
        <v>13</v>
      </c>
      <c r="S8" s="1" t="s">
        <v>16</v>
      </c>
      <c r="T8" s="2">
        <v>-1.4441000000000001E-4</v>
      </c>
      <c r="U8" s="1" t="s">
        <v>13</v>
      </c>
      <c r="V8" s="1" t="s">
        <v>16</v>
      </c>
      <c r="W8" s="1">
        <v>-1.18E-2</v>
      </c>
      <c r="X8" s="1" t="s">
        <v>13</v>
      </c>
      <c r="Y8" s="3" t="s">
        <v>16</v>
      </c>
      <c r="Z8" s="3">
        <v>-1.5E-3</v>
      </c>
      <c r="AA8" s="3" t="s">
        <v>13</v>
      </c>
      <c r="AB8" s="1" t="s">
        <v>16</v>
      </c>
      <c r="AC8" s="2">
        <v>-7.6228999999999999E-4</v>
      </c>
      <c r="AD8" s="1" t="s">
        <v>13</v>
      </c>
    </row>
    <row r="9" spans="1:30" ht="15.75" customHeight="1" x14ac:dyDescent="0.15">
      <c r="A9" s="1" t="s">
        <v>17</v>
      </c>
      <c r="B9" s="1">
        <v>34.579099999999997</v>
      </c>
      <c r="C9" s="1" t="s">
        <v>14</v>
      </c>
      <c r="D9" s="1" t="s">
        <v>17</v>
      </c>
      <c r="E9" s="1">
        <v>3.0230000000000001</v>
      </c>
      <c r="F9" s="1" t="s">
        <v>14</v>
      </c>
      <c r="G9" s="1" t="s">
        <v>17</v>
      </c>
      <c r="H9" s="1">
        <v>1.6935</v>
      </c>
      <c r="I9" s="1" t="s">
        <v>14</v>
      </c>
      <c r="J9" s="1" t="s">
        <v>17</v>
      </c>
      <c r="K9" s="1">
        <v>87.118399999999994</v>
      </c>
      <c r="L9" s="1" t="s">
        <v>18</v>
      </c>
      <c r="M9" s="1" t="s">
        <v>17</v>
      </c>
      <c r="N9" s="1">
        <v>3.0775999999999999</v>
      </c>
      <c r="O9" s="1" t="s">
        <v>18</v>
      </c>
      <c r="P9" s="1" t="s">
        <v>17</v>
      </c>
      <c r="Q9" s="1">
        <v>6.4340999999999999</v>
      </c>
      <c r="R9" s="1" t="s">
        <v>14</v>
      </c>
      <c r="S9" s="1" t="s">
        <v>17</v>
      </c>
      <c r="T9" s="1">
        <v>0.55300000000000005</v>
      </c>
      <c r="U9" s="1" t="s">
        <v>14</v>
      </c>
      <c r="V9" s="1" t="s">
        <v>17</v>
      </c>
      <c r="W9" s="1">
        <v>68.831699999999998</v>
      </c>
      <c r="X9" s="1" t="s">
        <v>18</v>
      </c>
      <c r="Y9" s="3" t="s">
        <v>17</v>
      </c>
      <c r="Z9" s="3">
        <v>0.3372</v>
      </c>
      <c r="AA9" s="3" t="s">
        <v>14</v>
      </c>
      <c r="AB9" s="1" t="s">
        <v>17</v>
      </c>
      <c r="AC9" s="1">
        <v>6.2870999999999997</v>
      </c>
      <c r="AD9" s="1" t="s">
        <v>18</v>
      </c>
    </row>
    <row r="10" spans="1:30" ht="15.75" customHeight="1" x14ac:dyDescent="0.15">
      <c r="A10" s="1" t="s">
        <v>19</v>
      </c>
      <c r="B10" s="1">
        <v>79.051500000000004</v>
      </c>
      <c r="C10" s="1" t="s">
        <v>14</v>
      </c>
      <c r="D10" s="1" t="s">
        <v>19</v>
      </c>
      <c r="E10" s="1">
        <v>21.363800000000001</v>
      </c>
      <c r="F10" s="1" t="s">
        <v>14</v>
      </c>
      <c r="G10" s="1" t="s">
        <v>19</v>
      </c>
      <c r="H10" s="1">
        <v>2.5909</v>
      </c>
      <c r="I10" s="1" t="s">
        <v>14</v>
      </c>
      <c r="J10" s="1" t="s">
        <v>19</v>
      </c>
      <c r="K10" s="1">
        <v>0.40100000000000002</v>
      </c>
      <c r="L10" s="1" t="s">
        <v>14</v>
      </c>
      <c r="M10" s="1" t="s">
        <v>19</v>
      </c>
      <c r="N10" s="1">
        <v>12.795500000000001</v>
      </c>
      <c r="O10" s="1" t="s">
        <v>18</v>
      </c>
      <c r="P10" s="1" t="s">
        <v>19</v>
      </c>
      <c r="Q10" s="1">
        <v>7.5518000000000001</v>
      </c>
      <c r="R10" s="1" t="s">
        <v>14</v>
      </c>
      <c r="S10" s="1" t="s">
        <v>19</v>
      </c>
      <c r="T10" s="1">
        <v>1.6614</v>
      </c>
      <c r="U10" s="1" t="s">
        <v>14</v>
      </c>
      <c r="V10" s="1" t="s">
        <v>19</v>
      </c>
      <c r="W10" s="1">
        <v>0.2361</v>
      </c>
      <c r="X10" s="1" t="s">
        <v>14</v>
      </c>
      <c r="Y10" s="3" t="s">
        <v>19</v>
      </c>
      <c r="Z10" s="3">
        <v>18.305299999999999</v>
      </c>
      <c r="AA10" s="3" t="s">
        <v>14</v>
      </c>
      <c r="AB10" s="1" t="s">
        <v>19</v>
      </c>
      <c r="AC10" s="1">
        <v>22.3141</v>
      </c>
      <c r="AD10" s="1" t="s">
        <v>18</v>
      </c>
    </row>
    <row r="11" spans="1:30" ht="15.75" customHeight="1" x14ac:dyDescent="0.15">
      <c r="A11" s="1" t="s">
        <v>20</v>
      </c>
      <c r="B11" s="1">
        <v>28.1371</v>
      </c>
      <c r="C11" s="1" t="s">
        <v>14</v>
      </c>
      <c r="D11" s="1" t="s">
        <v>20</v>
      </c>
      <c r="E11" s="1">
        <v>26.430499999999999</v>
      </c>
      <c r="F11" s="1" t="s">
        <v>14</v>
      </c>
      <c r="G11" s="1" t="s">
        <v>20</v>
      </c>
      <c r="H11" s="1">
        <v>9.9103999999999992</v>
      </c>
      <c r="I11" s="1" t="s">
        <v>14</v>
      </c>
      <c r="J11" s="1" t="s">
        <v>20</v>
      </c>
      <c r="K11" s="1">
        <v>0.73770000000000002</v>
      </c>
      <c r="L11" s="1" t="s">
        <v>14</v>
      </c>
      <c r="M11" s="1" t="s">
        <v>20</v>
      </c>
      <c r="N11" s="1">
        <v>17.9192</v>
      </c>
      <c r="O11" s="1" t="s">
        <v>18</v>
      </c>
      <c r="P11" s="1" t="s">
        <v>20</v>
      </c>
      <c r="Q11" s="1">
        <v>8.0963999999999992</v>
      </c>
      <c r="R11" s="1" t="s">
        <v>14</v>
      </c>
      <c r="S11" s="1" t="s">
        <v>20</v>
      </c>
      <c r="T11" s="1">
        <v>1.9193</v>
      </c>
      <c r="U11" s="1" t="s">
        <v>14</v>
      </c>
      <c r="V11" s="1" t="s">
        <v>20</v>
      </c>
      <c r="W11" s="1">
        <v>0.35859999999999997</v>
      </c>
      <c r="X11" s="1" t="s">
        <v>14</v>
      </c>
      <c r="Y11" s="3" t="s">
        <v>20</v>
      </c>
      <c r="Z11" s="3">
        <v>9.7216000000000005</v>
      </c>
      <c r="AA11" s="3" t="s">
        <v>14</v>
      </c>
      <c r="AB11" s="1" t="s">
        <v>20</v>
      </c>
      <c r="AC11" s="1">
        <v>32.421999999999997</v>
      </c>
      <c r="AD11" s="1" t="s">
        <v>18</v>
      </c>
    </row>
    <row r="12" spans="1:30" ht="15.75" customHeight="1" x14ac:dyDescent="0.15">
      <c r="A12" s="1" t="s">
        <v>21</v>
      </c>
      <c r="B12" s="1">
        <v>4.3461999999999996</v>
      </c>
      <c r="C12" s="1" t="s">
        <v>14</v>
      </c>
      <c r="D12" s="1" t="s">
        <v>21</v>
      </c>
      <c r="E12" s="1">
        <v>2.3679000000000001</v>
      </c>
      <c r="F12" s="1" t="s">
        <v>14</v>
      </c>
      <c r="G12" s="1" t="s">
        <v>21</v>
      </c>
      <c r="H12" s="1">
        <v>1.3943000000000001</v>
      </c>
      <c r="I12" s="1" t="s">
        <v>14</v>
      </c>
      <c r="J12" s="1" t="s">
        <v>21</v>
      </c>
      <c r="K12" s="1">
        <v>59.158000000000001</v>
      </c>
      <c r="L12" s="1" t="s">
        <v>18</v>
      </c>
      <c r="M12" s="1" t="s">
        <v>21</v>
      </c>
      <c r="N12" s="1">
        <v>3.3443000000000001</v>
      </c>
      <c r="O12" s="1" t="s">
        <v>18</v>
      </c>
      <c r="P12" s="1" t="s">
        <v>21</v>
      </c>
      <c r="Q12" s="1">
        <v>1.3073999999999999</v>
      </c>
      <c r="R12" s="1" t="s">
        <v>14</v>
      </c>
      <c r="S12" s="1" t="s">
        <v>21</v>
      </c>
      <c r="T12" s="1">
        <v>13.809100000000001</v>
      </c>
      <c r="U12" s="1" t="s">
        <v>18</v>
      </c>
      <c r="V12" s="1" t="s">
        <v>21</v>
      </c>
      <c r="W12" s="1">
        <v>38.044699999999999</v>
      </c>
      <c r="X12" s="1" t="s">
        <v>18</v>
      </c>
      <c r="Y12" s="3" t="s">
        <v>21</v>
      </c>
      <c r="Z12" s="3">
        <v>0.80389999999999995</v>
      </c>
      <c r="AA12" s="3" t="s">
        <v>14</v>
      </c>
      <c r="AB12" s="1" t="s">
        <v>21</v>
      </c>
      <c r="AC12" s="1">
        <v>2.8353999999999999</v>
      </c>
      <c r="AD12" s="1" t="s">
        <v>18</v>
      </c>
    </row>
    <row r="13" spans="1:30" ht="15.75" customHeight="1" x14ac:dyDescent="0.15">
      <c r="A13" s="1" t="s">
        <v>22</v>
      </c>
      <c r="B13" s="1">
        <v>3.8521000000000001</v>
      </c>
      <c r="C13" s="1" t="s">
        <v>14</v>
      </c>
      <c r="D13" s="1" t="s">
        <v>22</v>
      </c>
      <c r="E13" s="1">
        <v>1.9415</v>
      </c>
      <c r="F13" s="1" t="s">
        <v>14</v>
      </c>
      <c r="G13" s="1" t="s">
        <v>22</v>
      </c>
      <c r="H13" s="1">
        <v>1.1629</v>
      </c>
      <c r="I13" s="1" t="s">
        <v>14</v>
      </c>
      <c r="J13" s="1" t="s">
        <v>22</v>
      </c>
      <c r="K13" s="1">
        <v>46.490499999999997</v>
      </c>
      <c r="L13" s="1" t="s">
        <v>18</v>
      </c>
      <c r="M13" s="1" t="s">
        <v>22</v>
      </c>
      <c r="N13" s="1">
        <v>0.5353</v>
      </c>
      <c r="O13" s="1" t="s">
        <v>18</v>
      </c>
      <c r="P13" s="1" t="s">
        <v>22</v>
      </c>
      <c r="Q13" s="1">
        <v>1.0902000000000001</v>
      </c>
      <c r="R13" s="1" t="s">
        <v>14</v>
      </c>
      <c r="S13" s="1" t="s">
        <v>22</v>
      </c>
      <c r="T13" s="1">
        <v>13.503399999999999</v>
      </c>
      <c r="U13" s="1" t="s">
        <v>18</v>
      </c>
      <c r="V13" s="1" t="s">
        <v>22</v>
      </c>
      <c r="W13" s="1">
        <v>23.399899999999999</v>
      </c>
      <c r="X13" s="1" t="s">
        <v>18</v>
      </c>
      <c r="Y13" s="3" t="s">
        <v>22</v>
      </c>
      <c r="Z13" s="3">
        <v>0.79010000000000002</v>
      </c>
      <c r="AA13" s="3" t="s">
        <v>14</v>
      </c>
      <c r="AB13" s="1" t="s">
        <v>22</v>
      </c>
      <c r="AC13" s="1">
        <v>1.8876999999999999</v>
      </c>
      <c r="AD13" s="1" t="s">
        <v>18</v>
      </c>
    </row>
    <row r="14" spans="1:30" ht="15.75" customHeight="1" x14ac:dyDescent="0.15">
      <c r="A14" s="1" t="s">
        <v>23</v>
      </c>
      <c r="B14" s="1">
        <v>7.5679999999999996</v>
      </c>
      <c r="C14" s="1" t="s">
        <v>14</v>
      </c>
      <c r="D14" s="1" t="s">
        <v>23</v>
      </c>
      <c r="E14" s="1">
        <v>3.0745</v>
      </c>
      <c r="F14" s="1" t="s">
        <v>14</v>
      </c>
      <c r="G14" s="1" t="s">
        <v>23</v>
      </c>
      <c r="H14" s="1">
        <v>13.2898</v>
      </c>
      <c r="I14" s="1" t="s">
        <v>14</v>
      </c>
      <c r="J14" s="1" t="s">
        <v>23</v>
      </c>
      <c r="K14" s="1">
        <v>0.21629999999999999</v>
      </c>
      <c r="L14" s="1" t="s">
        <v>14</v>
      </c>
      <c r="M14" s="1" t="s">
        <v>23</v>
      </c>
      <c r="N14" s="1">
        <v>1.6040000000000001</v>
      </c>
      <c r="O14" s="1" t="s">
        <v>18</v>
      </c>
      <c r="P14" s="1" t="s">
        <v>23</v>
      </c>
      <c r="Q14" s="1">
        <v>4.9720000000000004</v>
      </c>
      <c r="R14" s="1" t="s">
        <v>14</v>
      </c>
      <c r="S14" s="1" t="s">
        <v>23</v>
      </c>
      <c r="T14" s="1">
        <v>2.1977000000000002</v>
      </c>
      <c r="U14" s="1" t="s">
        <v>18</v>
      </c>
      <c r="V14" s="1" t="s">
        <v>23</v>
      </c>
      <c r="W14" s="1">
        <v>0.17799999999999999</v>
      </c>
      <c r="X14" s="1" t="s">
        <v>14</v>
      </c>
      <c r="Y14" s="3" t="s">
        <v>23</v>
      </c>
      <c r="Z14" s="3">
        <v>0.111</v>
      </c>
      <c r="AA14" s="3" t="s">
        <v>14</v>
      </c>
      <c r="AB14" s="1" t="s">
        <v>23</v>
      </c>
      <c r="AC14" s="1">
        <v>61.316499999999998</v>
      </c>
      <c r="AD14" s="1" t="s">
        <v>14</v>
      </c>
    </row>
    <row r="15" spans="1:30" ht="15.75" customHeight="1" x14ac:dyDescent="0.15">
      <c r="A15" s="1" t="s">
        <v>24</v>
      </c>
      <c r="B15" s="1">
        <v>45.360300000000002</v>
      </c>
      <c r="C15" s="1" t="s">
        <v>14</v>
      </c>
      <c r="D15" s="1" t="s">
        <v>24</v>
      </c>
      <c r="E15" s="1">
        <v>31.2837</v>
      </c>
      <c r="F15" s="1" t="s">
        <v>14</v>
      </c>
      <c r="G15" s="1" t="s">
        <v>24</v>
      </c>
      <c r="H15" s="1">
        <v>3.0093999999999999</v>
      </c>
      <c r="I15" s="1" t="s">
        <v>14</v>
      </c>
      <c r="J15" s="1" t="s">
        <v>24</v>
      </c>
      <c r="K15" s="1">
        <v>0.78749999999999998</v>
      </c>
      <c r="L15" s="1" t="s">
        <v>14</v>
      </c>
      <c r="M15" s="1" t="s">
        <v>24</v>
      </c>
      <c r="N15" s="1">
        <v>9.9496000000000002</v>
      </c>
      <c r="O15" s="1" t="s">
        <v>18</v>
      </c>
      <c r="P15" s="1" t="s">
        <v>24</v>
      </c>
      <c r="Q15" s="1">
        <v>7.3811</v>
      </c>
      <c r="R15" s="1" t="s">
        <v>14</v>
      </c>
      <c r="S15" s="1" t="s">
        <v>24</v>
      </c>
      <c r="T15" s="1">
        <v>5.4547999999999996</v>
      </c>
      <c r="U15" s="1" t="s">
        <v>14</v>
      </c>
      <c r="V15" s="1" t="s">
        <v>24</v>
      </c>
      <c r="W15" s="1">
        <v>0.77170000000000005</v>
      </c>
      <c r="X15" s="1" t="s">
        <v>14</v>
      </c>
      <c r="Y15" s="3" t="s">
        <v>24</v>
      </c>
      <c r="Z15" s="3">
        <v>3.6766000000000001</v>
      </c>
      <c r="AA15" s="3" t="s">
        <v>14</v>
      </c>
      <c r="AB15" s="1" t="s">
        <v>24</v>
      </c>
      <c r="AC15" s="1">
        <v>65.7136</v>
      </c>
      <c r="AD15" s="1" t="s">
        <v>18</v>
      </c>
    </row>
    <row r="16" spans="1:30" ht="15.75" customHeight="1" x14ac:dyDescent="0.15">
      <c r="A16" s="1" t="s">
        <v>25</v>
      </c>
      <c r="B16" s="1">
        <v>0.4627</v>
      </c>
      <c r="C16" s="1" t="s">
        <v>14</v>
      </c>
      <c r="D16" s="1" t="s">
        <v>25</v>
      </c>
      <c r="E16" s="1">
        <v>0.32740000000000002</v>
      </c>
      <c r="F16" s="1" t="s">
        <v>14</v>
      </c>
      <c r="G16" s="1" t="s">
        <v>25</v>
      </c>
      <c r="H16" s="1">
        <v>38.6295</v>
      </c>
      <c r="I16" s="1" t="s">
        <v>18</v>
      </c>
      <c r="J16" s="1" t="s">
        <v>25</v>
      </c>
      <c r="K16" s="1">
        <v>10.2493</v>
      </c>
      <c r="L16" s="1" t="s">
        <v>18</v>
      </c>
      <c r="M16" s="1" t="s">
        <v>25</v>
      </c>
      <c r="N16" s="1">
        <v>1.1217999999999999</v>
      </c>
      <c r="O16" s="1" t="s">
        <v>18</v>
      </c>
      <c r="P16" s="1" t="s">
        <v>25</v>
      </c>
      <c r="Q16" s="1">
        <v>2.0026000000000002</v>
      </c>
      <c r="R16" s="1" t="s">
        <v>14</v>
      </c>
      <c r="S16" s="1" t="s">
        <v>25</v>
      </c>
      <c r="T16" s="1">
        <v>40.608600000000003</v>
      </c>
      <c r="U16" s="1" t="s">
        <v>18</v>
      </c>
      <c r="V16" s="1" t="s">
        <v>25</v>
      </c>
      <c r="W16" s="1">
        <v>7.4992999999999999</v>
      </c>
      <c r="X16" s="1" t="s">
        <v>18</v>
      </c>
      <c r="Y16" s="3" t="s">
        <v>25</v>
      </c>
      <c r="Z16" s="3">
        <v>28.276299999999999</v>
      </c>
      <c r="AA16" s="3" t="s">
        <v>18</v>
      </c>
      <c r="AB16" s="1" t="s">
        <v>25</v>
      </c>
      <c r="AC16" s="1">
        <v>0.65459999999999996</v>
      </c>
      <c r="AD16" s="1" t="s">
        <v>18</v>
      </c>
    </row>
    <row r="17" spans="1:30" ht="15.75" customHeight="1" x14ac:dyDescent="0.15">
      <c r="A17" s="1" t="s">
        <v>26</v>
      </c>
      <c r="B17" s="1">
        <v>0.3921</v>
      </c>
      <c r="C17" s="1" t="s">
        <v>14</v>
      </c>
      <c r="D17" s="1" t="s">
        <v>26</v>
      </c>
      <c r="E17" s="1">
        <v>0.52049999999999996</v>
      </c>
      <c r="F17" s="1" t="s">
        <v>14</v>
      </c>
      <c r="G17" s="1" t="s">
        <v>26</v>
      </c>
      <c r="H17" s="1">
        <v>0.1032</v>
      </c>
      <c r="I17" s="1" t="s">
        <v>14</v>
      </c>
      <c r="J17" s="1" t="s">
        <v>26</v>
      </c>
      <c r="K17" s="1">
        <v>8.3648000000000007</v>
      </c>
      <c r="L17" s="1" t="s">
        <v>18</v>
      </c>
      <c r="M17" s="1" t="s">
        <v>26</v>
      </c>
      <c r="N17" s="1">
        <v>86.107100000000003</v>
      </c>
      <c r="O17" s="1" t="s">
        <v>27</v>
      </c>
      <c r="P17" s="1" t="s">
        <v>26</v>
      </c>
      <c r="Q17" s="1">
        <v>64.879000000000005</v>
      </c>
      <c r="R17" s="1" t="s">
        <v>18</v>
      </c>
      <c r="S17" s="1" t="s">
        <v>26</v>
      </c>
      <c r="T17" s="1">
        <v>2.7791000000000001</v>
      </c>
      <c r="U17" s="1" t="s">
        <v>18</v>
      </c>
      <c r="V17" s="1" t="s">
        <v>26</v>
      </c>
      <c r="W17" s="1">
        <v>1.3785000000000001</v>
      </c>
      <c r="X17" s="1" t="s">
        <v>18</v>
      </c>
      <c r="Y17" s="3" t="s">
        <v>26</v>
      </c>
      <c r="Z17" s="3">
        <v>0.62039999999999995</v>
      </c>
      <c r="AA17" s="3" t="s">
        <v>14</v>
      </c>
      <c r="AB17" s="1" t="s">
        <v>26</v>
      </c>
      <c r="AC17" s="1">
        <v>0.15260000000000001</v>
      </c>
      <c r="AD17" s="1" t="s">
        <v>18</v>
      </c>
    </row>
    <row r="18" spans="1:30" ht="15.75" customHeight="1" x14ac:dyDescent="0.15">
      <c r="A18" s="1" t="s">
        <v>28</v>
      </c>
      <c r="B18" s="1">
        <v>1.262</v>
      </c>
      <c r="C18" s="1" t="s">
        <v>14</v>
      </c>
      <c r="D18" s="1" t="s">
        <v>28</v>
      </c>
      <c r="E18" s="1">
        <v>0.52390000000000003</v>
      </c>
      <c r="F18" s="1" t="s">
        <v>14</v>
      </c>
      <c r="G18" s="1" t="s">
        <v>28</v>
      </c>
      <c r="H18" s="1">
        <v>0.26069999999999999</v>
      </c>
      <c r="I18" s="1" t="s">
        <v>14</v>
      </c>
      <c r="J18" s="1" t="s">
        <v>28</v>
      </c>
      <c r="K18" s="1">
        <v>15.7721</v>
      </c>
      <c r="L18" s="1" t="s">
        <v>18</v>
      </c>
      <c r="M18" s="1" t="s">
        <v>28</v>
      </c>
      <c r="N18" s="1">
        <v>89.172700000000006</v>
      </c>
      <c r="O18" s="1" t="s">
        <v>27</v>
      </c>
      <c r="P18" s="1" t="s">
        <v>28</v>
      </c>
      <c r="Q18" s="1">
        <v>0.16769999999999999</v>
      </c>
      <c r="R18" s="1" t="s">
        <v>14</v>
      </c>
      <c r="S18" s="1" t="s">
        <v>28</v>
      </c>
      <c r="T18" s="1">
        <v>5.6944999999999997</v>
      </c>
      <c r="U18" s="1" t="s">
        <v>18</v>
      </c>
      <c r="V18" s="1" t="s">
        <v>28</v>
      </c>
      <c r="W18" s="1">
        <v>7.7702</v>
      </c>
      <c r="X18" s="1" t="s">
        <v>18</v>
      </c>
      <c r="Y18" s="3" t="s">
        <v>28</v>
      </c>
      <c r="Z18" s="3">
        <v>0.1457</v>
      </c>
      <c r="AA18" s="3" t="s">
        <v>14</v>
      </c>
      <c r="AB18" s="1" t="s">
        <v>28</v>
      </c>
      <c r="AC18" s="1">
        <v>0.66259999999999997</v>
      </c>
      <c r="AD18" s="1" t="s">
        <v>18</v>
      </c>
    </row>
    <row r="19" spans="1:30" ht="15.75" customHeight="1" x14ac:dyDescent="0.15">
      <c r="A19" s="1" t="s">
        <v>29</v>
      </c>
      <c r="D19" s="1" t="s">
        <v>29</v>
      </c>
      <c r="G19" s="1" t="s">
        <v>29</v>
      </c>
      <c r="J19" s="1" t="s">
        <v>29</v>
      </c>
      <c r="M19" s="1" t="s">
        <v>29</v>
      </c>
      <c r="P19" s="1" t="s">
        <v>29</v>
      </c>
      <c r="S19" s="1" t="s">
        <v>29</v>
      </c>
      <c r="V19" s="1" t="s">
        <v>29</v>
      </c>
      <c r="Y19" s="3" t="s">
        <v>29</v>
      </c>
      <c r="Z19" s="3"/>
      <c r="AA19" s="3"/>
      <c r="AB19" s="1" t="s">
        <v>29</v>
      </c>
    </row>
    <row r="20" spans="1:30" s="25" customFormat="1" ht="15.75" customHeight="1" x14ac:dyDescent="0.15">
      <c r="A20" s="24" t="s">
        <v>30</v>
      </c>
      <c r="B20" s="24">
        <v>23.8447</v>
      </c>
      <c r="C20" s="24" t="s">
        <v>13</v>
      </c>
      <c r="D20" s="24" t="s">
        <v>30</v>
      </c>
      <c r="E20" s="24">
        <v>20.502199999999998</v>
      </c>
      <c r="F20" s="24" t="s">
        <v>13</v>
      </c>
      <c r="G20" s="24" t="s">
        <v>30</v>
      </c>
      <c r="H20" s="24">
        <v>1.6826000000000001</v>
      </c>
      <c r="I20" s="24" t="s">
        <v>13</v>
      </c>
      <c r="J20" s="24" t="s">
        <v>30</v>
      </c>
      <c r="K20" s="24">
        <v>0.45650000000000002</v>
      </c>
      <c r="L20" s="24" t="s">
        <v>13</v>
      </c>
      <c r="M20" s="24" t="s">
        <v>30</v>
      </c>
      <c r="N20" s="24">
        <v>9.0161999999999995</v>
      </c>
      <c r="O20" s="24" t="s">
        <v>14</v>
      </c>
      <c r="P20" s="24" t="s">
        <v>30</v>
      </c>
      <c r="Q20" s="24">
        <v>3.3862000000000001</v>
      </c>
      <c r="R20" s="24" t="s">
        <v>13</v>
      </c>
      <c r="S20" s="24" t="s">
        <v>30</v>
      </c>
      <c r="T20" s="24">
        <v>0.3478</v>
      </c>
      <c r="U20" s="24" t="s">
        <v>13</v>
      </c>
      <c r="V20" s="24" t="s">
        <v>30</v>
      </c>
      <c r="W20" s="24">
        <v>0.3967</v>
      </c>
      <c r="X20" s="24" t="s">
        <v>13</v>
      </c>
      <c r="Y20" s="3" t="s">
        <v>30</v>
      </c>
      <c r="Z20" s="3">
        <v>3.1808000000000001</v>
      </c>
      <c r="AA20" s="3" t="s">
        <v>13</v>
      </c>
      <c r="AB20" s="24" t="s">
        <v>30</v>
      </c>
      <c r="AC20" s="24">
        <v>32.232300000000002</v>
      </c>
      <c r="AD20" s="24" t="s">
        <v>14</v>
      </c>
    </row>
    <row r="21" spans="1:30" ht="15.75" customHeight="1" x14ac:dyDescent="0.15">
      <c r="A21" s="1" t="s">
        <v>31</v>
      </c>
      <c r="B21" s="1">
        <v>26.235199999999999</v>
      </c>
      <c r="C21" s="1" t="s">
        <v>13</v>
      </c>
      <c r="D21" s="1" t="s">
        <v>31</v>
      </c>
      <c r="E21" s="1">
        <v>22.1508</v>
      </c>
      <c r="F21" s="1" t="s">
        <v>13</v>
      </c>
      <c r="G21" s="1" t="s">
        <v>31</v>
      </c>
      <c r="H21" s="1">
        <v>1.8411999999999999</v>
      </c>
      <c r="I21" s="1" t="s">
        <v>13</v>
      </c>
      <c r="J21" s="1" t="s">
        <v>31</v>
      </c>
      <c r="K21" s="1">
        <v>0.498</v>
      </c>
      <c r="L21" s="1" t="s">
        <v>13</v>
      </c>
      <c r="M21" s="1" t="s">
        <v>31</v>
      </c>
      <c r="N21" s="1">
        <v>9.5404999999999998</v>
      </c>
      <c r="O21" s="1" t="s">
        <v>14</v>
      </c>
      <c r="P21" s="1" t="s">
        <v>31</v>
      </c>
      <c r="Q21" s="1">
        <v>3.7751000000000001</v>
      </c>
      <c r="R21" s="1" t="s">
        <v>13</v>
      </c>
      <c r="S21" s="1" t="s">
        <v>31</v>
      </c>
      <c r="T21" s="1">
        <v>0.63529999999999998</v>
      </c>
      <c r="U21" s="1" t="s">
        <v>13</v>
      </c>
      <c r="V21" s="1" t="s">
        <v>31</v>
      </c>
      <c r="W21" s="1">
        <v>0.43740000000000001</v>
      </c>
      <c r="X21" s="1" t="s">
        <v>13</v>
      </c>
      <c r="Y21" s="3" t="s">
        <v>31</v>
      </c>
      <c r="Z21" s="3">
        <v>3.3744999999999998</v>
      </c>
      <c r="AA21" s="3" t="s">
        <v>13</v>
      </c>
      <c r="AB21" s="1" t="s">
        <v>31</v>
      </c>
      <c r="AC21" s="1">
        <v>35.695399999999999</v>
      </c>
      <c r="AD21" s="1" t="s">
        <v>14</v>
      </c>
    </row>
    <row r="22" spans="1:30" ht="15.75" customHeight="1" x14ac:dyDescent="0.15">
      <c r="A22" s="1" t="s">
        <v>32</v>
      </c>
      <c r="D22" s="1" t="s">
        <v>32</v>
      </c>
      <c r="G22" s="1" t="s">
        <v>32</v>
      </c>
      <c r="J22" s="1" t="s">
        <v>32</v>
      </c>
      <c r="M22" s="1" t="s">
        <v>32</v>
      </c>
      <c r="P22" s="1" t="s">
        <v>32</v>
      </c>
      <c r="S22" s="1" t="s">
        <v>32</v>
      </c>
      <c r="V22" s="1" t="s">
        <v>32</v>
      </c>
      <c r="Y22" s="3" t="s">
        <v>32</v>
      </c>
      <c r="Z22" s="3"/>
      <c r="AA22" s="3"/>
      <c r="AB22" s="1" t="s">
        <v>32</v>
      </c>
    </row>
    <row r="23" spans="1:30" ht="15.75" customHeight="1" x14ac:dyDescent="0.15">
      <c r="A23" s="1" t="s">
        <v>33</v>
      </c>
      <c r="B23" s="1">
        <v>0</v>
      </c>
      <c r="C23" s="1" t="s">
        <v>34</v>
      </c>
      <c r="D23" s="1" t="s">
        <v>33</v>
      </c>
      <c r="E23" s="1">
        <v>0</v>
      </c>
      <c r="F23" s="1" t="s">
        <v>34</v>
      </c>
      <c r="G23" s="1" t="s">
        <v>33</v>
      </c>
      <c r="H23" s="1">
        <v>0</v>
      </c>
      <c r="I23" s="1" t="s">
        <v>34</v>
      </c>
      <c r="J23" s="1" t="s">
        <v>33</v>
      </c>
      <c r="K23" s="1">
        <v>0</v>
      </c>
      <c r="L23" s="1" t="s">
        <v>34</v>
      </c>
      <c r="M23" s="1" t="s">
        <v>33</v>
      </c>
      <c r="N23" s="1">
        <v>0</v>
      </c>
      <c r="O23" s="1" t="s">
        <v>34</v>
      </c>
      <c r="P23" s="1" t="s">
        <v>33</v>
      </c>
      <c r="Q23" s="1">
        <v>0</v>
      </c>
      <c r="R23" s="1" t="s">
        <v>34</v>
      </c>
      <c r="S23" s="1" t="s">
        <v>33</v>
      </c>
      <c r="T23" s="1">
        <v>0</v>
      </c>
      <c r="U23" s="1" t="s">
        <v>34</v>
      </c>
      <c r="V23" s="1" t="s">
        <v>33</v>
      </c>
      <c r="W23" s="1">
        <v>0</v>
      </c>
      <c r="X23" s="1" t="s">
        <v>34</v>
      </c>
      <c r="Y23" s="3" t="s">
        <v>33</v>
      </c>
      <c r="Z23" s="3">
        <v>0</v>
      </c>
      <c r="AA23" s="3" t="s">
        <v>34</v>
      </c>
      <c r="AB23" s="1" t="s">
        <v>33</v>
      </c>
      <c r="AC23" s="1">
        <v>0</v>
      </c>
      <c r="AD23" s="1" t="s">
        <v>34</v>
      </c>
    </row>
    <row r="24" spans="1:30" ht="15.75" customHeight="1" x14ac:dyDescent="0.15">
      <c r="A24" s="1" t="s">
        <v>35</v>
      </c>
      <c r="D24" s="1" t="s">
        <v>35</v>
      </c>
      <c r="G24" s="1" t="s">
        <v>35</v>
      </c>
      <c r="J24" s="1" t="s">
        <v>35</v>
      </c>
      <c r="M24" s="1" t="s">
        <v>35</v>
      </c>
      <c r="P24" s="1" t="s">
        <v>35</v>
      </c>
      <c r="S24" s="1" t="s">
        <v>35</v>
      </c>
      <c r="V24" s="1" t="s">
        <v>35</v>
      </c>
      <c r="Y24" s="3" t="s">
        <v>35</v>
      </c>
      <c r="Z24" s="3"/>
      <c r="AA24" s="3"/>
      <c r="AB24" s="1" t="s">
        <v>35</v>
      </c>
    </row>
    <row r="25" spans="1:30" ht="15.75" customHeight="1" x14ac:dyDescent="0.15">
      <c r="A25" s="1" t="s">
        <v>11</v>
      </c>
      <c r="D25" s="1" t="s">
        <v>11</v>
      </c>
      <c r="G25" s="1" t="s">
        <v>11</v>
      </c>
      <c r="J25" s="1" t="s">
        <v>11</v>
      </c>
      <c r="M25" s="1" t="s">
        <v>11</v>
      </c>
      <c r="P25" s="1" t="s">
        <v>11</v>
      </c>
      <c r="S25" s="1" t="s">
        <v>11</v>
      </c>
      <c r="V25" s="1" t="s">
        <v>11</v>
      </c>
      <c r="Y25" s="3" t="s">
        <v>11</v>
      </c>
      <c r="Z25" s="3"/>
      <c r="AA25" s="3"/>
      <c r="AB25" s="1" t="s">
        <v>11</v>
      </c>
    </row>
    <row r="26" spans="1:30" s="25" customFormat="1" ht="15.75" customHeight="1" x14ac:dyDescent="0.15">
      <c r="A26" s="24" t="s">
        <v>35</v>
      </c>
      <c r="B26" s="24">
        <v>393</v>
      </c>
      <c r="C26" s="24" t="s">
        <v>36</v>
      </c>
      <c r="D26" s="24" t="s">
        <v>35</v>
      </c>
      <c r="E26" s="24">
        <v>305</v>
      </c>
      <c r="F26" s="24" t="s">
        <v>36</v>
      </c>
      <c r="G26" s="24" t="s">
        <v>35</v>
      </c>
      <c r="H26" s="24">
        <v>25</v>
      </c>
      <c r="I26" s="24" t="s">
        <v>36</v>
      </c>
      <c r="J26" s="24" t="s">
        <v>35</v>
      </c>
      <c r="K26" s="24">
        <v>7299</v>
      </c>
      <c r="L26" s="24" t="s">
        <v>37</v>
      </c>
      <c r="M26" s="24" t="s">
        <v>35</v>
      </c>
      <c r="N26" s="24">
        <v>114.07080000000001</v>
      </c>
      <c r="O26" s="24" t="s">
        <v>37</v>
      </c>
      <c r="P26" s="24" t="s">
        <v>35</v>
      </c>
      <c r="Q26" s="24">
        <v>54</v>
      </c>
      <c r="R26" s="24" t="s">
        <v>36</v>
      </c>
      <c r="S26" s="24" t="s">
        <v>35</v>
      </c>
      <c r="T26" s="24">
        <v>38</v>
      </c>
      <c r="U26" s="24" t="s">
        <v>36</v>
      </c>
      <c r="V26" s="24" t="s">
        <v>35</v>
      </c>
      <c r="W26" s="24">
        <v>7151</v>
      </c>
      <c r="X26" s="24" t="s">
        <v>37</v>
      </c>
      <c r="Y26" s="3" t="s">
        <v>35</v>
      </c>
      <c r="Z26" s="3">
        <v>42</v>
      </c>
      <c r="AA26" s="3" t="s">
        <v>36</v>
      </c>
      <c r="AB26" s="24" t="s">
        <v>35</v>
      </c>
      <c r="AC26" s="24">
        <v>572.14909999999998</v>
      </c>
      <c r="AD26" s="24" t="s">
        <v>37</v>
      </c>
    </row>
    <row r="27" spans="1:30" s="25" customFormat="1" ht="15.75" customHeight="1" x14ac:dyDescent="0.15">
      <c r="A27" s="24" t="s">
        <v>38</v>
      </c>
      <c r="B27" s="24">
        <v>60793.987699999998</v>
      </c>
      <c r="C27" s="24" t="s">
        <v>39</v>
      </c>
      <c r="D27" s="24" t="s">
        <v>38</v>
      </c>
      <c r="E27" s="24">
        <v>35702.032099999997</v>
      </c>
      <c r="F27" s="24" t="s">
        <v>39</v>
      </c>
      <c r="G27" s="24" t="s">
        <v>38</v>
      </c>
      <c r="H27" s="24">
        <v>32954.751799999998</v>
      </c>
      <c r="I27" s="24" t="s">
        <v>39</v>
      </c>
      <c r="J27" s="24" t="s">
        <v>38</v>
      </c>
      <c r="K27" s="24">
        <v>3687.6131999999998</v>
      </c>
      <c r="L27" s="24" t="s">
        <v>39</v>
      </c>
      <c r="M27" s="24" t="s">
        <v>38</v>
      </c>
      <c r="N27" s="24">
        <v>109.8686</v>
      </c>
      <c r="O27" s="24" t="s">
        <v>39</v>
      </c>
      <c r="P27" s="24" t="s">
        <v>38</v>
      </c>
      <c r="Q27" s="24">
        <v>15194.565399999999</v>
      </c>
      <c r="R27" s="24" t="s">
        <v>39</v>
      </c>
      <c r="S27" s="24" t="s">
        <v>38</v>
      </c>
      <c r="T27" s="24">
        <v>414.80619999999999</v>
      </c>
      <c r="U27" s="24" t="s">
        <v>39</v>
      </c>
      <c r="V27" s="24" t="s">
        <v>38</v>
      </c>
      <c r="W27" s="24">
        <v>1930.2334000000001</v>
      </c>
      <c r="X27" s="24" t="s">
        <v>39</v>
      </c>
      <c r="Y27" s="3" t="s">
        <v>38</v>
      </c>
      <c r="Z27" s="3">
        <v>2921.3305</v>
      </c>
      <c r="AA27" s="3" t="s">
        <v>39</v>
      </c>
      <c r="AB27" s="24" t="s">
        <v>38</v>
      </c>
      <c r="AC27" s="24">
        <v>867.16570000000002</v>
      </c>
      <c r="AD27" s="24" t="s">
        <v>39</v>
      </c>
    </row>
    <row r="28" spans="1:30" ht="15.75" customHeight="1" x14ac:dyDescent="0.15">
      <c r="A28" s="1" t="s">
        <v>40</v>
      </c>
      <c r="B28" s="1">
        <v>26652.589</v>
      </c>
      <c r="C28" s="1" t="s">
        <v>39</v>
      </c>
      <c r="D28" s="1" t="s">
        <v>40</v>
      </c>
      <c r="E28" s="1">
        <v>11750.091899999999</v>
      </c>
      <c r="F28" s="1" t="s">
        <v>39</v>
      </c>
      <c r="G28" s="1" t="s">
        <v>41</v>
      </c>
      <c r="H28" s="1">
        <v>23167.0406</v>
      </c>
      <c r="I28" s="1" t="s">
        <v>39</v>
      </c>
      <c r="J28" s="1" t="s">
        <v>41</v>
      </c>
      <c r="K28" s="1">
        <v>2642.5392000000002</v>
      </c>
      <c r="L28" s="1" t="s">
        <v>39</v>
      </c>
      <c r="M28" s="1" t="s">
        <v>41</v>
      </c>
      <c r="N28" s="1">
        <v>107.9594</v>
      </c>
      <c r="O28" s="1" t="s">
        <v>39</v>
      </c>
      <c r="P28" s="1" t="s">
        <v>42</v>
      </c>
      <c r="Q28" s="1">
        <v>8436.7345999999998</v>
      </c>
      <c r="R28" s="1" t="s">
        <v>39</v>
      </c>
      <c r="S28" s="1" t="s">
        <v>43</v>
      </c>
      <c r="T28" s="1">
        <v>391.11790000000002</v>
      </c>
      <c r="U28" s="1" t="s">
        <v>39</v>
      </c>
      <c r="V28" s="1" t="s">
        <v>40</v>
      </c>
      <c r="W28" s="1">
        <v>968.37159999999994</v>
      </c>
      <c r="X28" s="1" t="s">
        <v>39</v>
      </c>
      <c r="Y28" s="3" t="s">
        <v>41</v>
      </c>
      <c r="Z28" s="3">
        <v>2256.7566000000002</v>
      </c>
      <c r="AA28" s="3" t="s">
        <v>39</v>
      </c>
      <c r="AB28" s="1" t="s">
        <v>42</v>
      </c>
      <c r="AC28" s="1">
        <v>741.52419999999995</v>
      </c>
      <c r="AD28" s="1" t="s">
        <v>39</v>
      </c>
    </row>
    <row r="29" spans="1:30" ht="15.75" customHeight="1" x14ac:dyDescent="0.15">
      <c r="A29" s="1" t="s">
        <v>44</v>
      </c>
      <c r="B29" s="1">
        <v>23968.5599</v>
      </c>
      <c r="C29" s="1" t="s">
        <v>39</v>
      </c>
      <c r="D29" s="1" t="s">
        <v>44</v>
      </c>
      <c r="E29" s="1">
        <v>10570.703600000001</v>
      </c>
      <c r="F29" s="1" t="s">
        <v>39</v>
      </c>
      <c r="G29" s="1" t="s">
        <v>42</v>
      </c>
      <c r="H29" s="1">
        <v>8306.7153999999991</v>
      </c>
      <c r="I29" s="1" t="s">
        <v>39</v>
      </c>
      <c r="J29" s="1" t="s">
        <v>40</v>
      </c>
      <c r="K29" s="1">
        <v>519.01319999999998</v>
      </c>
      <c r="L29" s="1" t="s">
        <v>39</v>
      </c>
      <c r="M29" s="1" t="s">
        <v>42</v>
      </c>
      <c r="N29" s="1">
        <v>1.0710999999999999</v>
      </c>
      <c r="O29" s="1" t="s">
        <v>39</v>
      </c>
      <c r="P29" s="1" t="s">
        <v>41</v>
      </c>
      <c r="Q29" s="1">
        <v>5395.6422000000002</v>
      </c>
      <c r="R29" s="1" t="s">
        <v>39</v>
      </c>
      <c r="S29" s="1" t="s">
        <v>40</v>
      </c>
      <c r="T29" s="1">
        <v>11.866099999999999</v>
      </c>
      <c r="U29" s="1" t="s">
        <v>39</v>
      </c>
      <c r="V29" s="1" t="s">
        <v>44</v>
      </c>
      <c r="W29" s="1">
        <v>870.77509999999995</v>
      </c>
      <c r="X29" s="1" t="s">
        <v>39</v>
      </c>
      <c r="Y29" s="3" t="s">
        <v>42</v>
      </c>
      <c r="Z29" s="3">
        <v>401.25749999999999</v>
      </c>
      <c r="AA29" s="3" t="s">
        <v>39</v>
      </c>
      <c r="AB29" s="1" t="s">
        <v>40</v>
      </c>
      <c r="AC29" s="1">
        <v>62.642000000000003</v>
      </c>
      <c r="AD29" s="1" t="s">
        <v>39</v>
      </c>
    </row>
    <row r="30" spans="1:30" ht="15.75" customHeight="1" x14ac:dyDescent="0.15">
      <c r="A30" s="1" t="s">
        <v>41</v>
      </c>
      <c r="B30" s="1">
        <v>5166.6611999999996</v>
      </c>
      <c r="C30" s="1" t="s">
        <v>39</v>
      </c>
      <c r="D30" s="1" t="s">
        <v>41</v>
      </c>
      <c r="E30" s="1">
        <v>9361.9644000000008</v>
      </c>
      <c r="F30" s="1" t="s">
        <v>39</v>
      </c>
      <c r="G30" s="1" t="s">
        <v>40</v>
      </c>
      <c r="H30" s="1">
        <v>695.072</v>
      </c>
      <c r="I30" s="1" t="s">
        <v>39</v>
      </c>
      <c r="J30" s="1" t="s">
        <v>44</v>
      </c>
      <c r="K30" s="1">
        <v>466.76940000000002</v>
      </c>
      <c r="L30" s="1" t="s">
        <v>39</v>
      </c>
      <c r="M30" s="1" t="s">
        <v>40</v>
      </c>
      <c r="N30" s="1">
        <v>0.38929999999999998</v>
      </c>
      <c r="O30" s="1" t="s">
        <v>39</v>
      </c>
      <c r="P30" s="1" t="s">
        <v>43</v>
      </c>
      <c r="Q30" s="1">
        <v>499.30950000000001</v>
      </c>
      <c r="R30" s="1" t="s">
        <v>39</v>
      </c>
      <c r="S30" s="1" t="s">
        <v>44</v>
      </c>
      <c r="T30" s="1">
        <v>10.670400000000001</v>
      </c>
      <c r="U30" s="1" t="s">
        <v>39</v>
      </c>
      <c r="V30" s="1" t="s">
        <v>41</v>
      </c>
      <c r="W30" s="1">
        <v>47.043300000000002</v>
      </c>
      <c r="X30" s="1" t="s">
        <v>39</v>
      </c>
      <c r="Y30" s="3" t="s">
        <v>40</v>
      </c>
      <c r="Z30" s="3">
        <v>119.27330000000001</v>
      </c>
      <c r="AA30" s="3" t="s">
        <v>39</v>
      </c>
      <c r="AB30" s="1" t="s">
        <v>44</v>
      </c>
      <c r="AC30" s="1">
        <v>56.328699999999998</v>
      </c>
      <c r="AD30" s="1" t="s">
        <v>39</v>
      </c>
    </row>
    <row r="31" spans="1:30" ht="15.75" customHeight="1" x14ac:dyDescent="0.15">
      <c r="A31" s="1" t="s">
        <v>42</v>
      </c>
      <c r="B31" s="1">
        <v>2603.2745</v>
      </c>
      <c r="C31" s="1" t="s">
        <v>39</v>
      </c>
      <c r="D31" s="1" t="s">
        <v>42</v>
      </c>
      <c r="E31" s="1">
        <v>2837.9814999999999</v>
      </c>
      <c r="F31" s="1" t="s">
        <v>39</v>
      </c>
      <c r="G31" s="1" t="s">
        <v>44</v>
      </c>
      <c r="H31" s="1">
        <v>625.25720000000001</v>
      </c>
      <c r="I31" s="1" t="s">
        <v>39</v>
      </c>
      <c r="J31" s="1" t="s">
        <v>43</v>
      </c>
      <c r="K31" s="1">
        <v>35.929600000000001</v>
      </c>
      <c r="L31" s="1" t="s">
        <v>39</v>
      </c>
      <c r="M31" s="1" t="s">
        <v>44</v>
      </c>
      <c r="N31" s="1">
        <v>0.3533</v>
      </c>
      <c r="O31" s="1" t="s">
        <v>39</v>
      </c>
      <c r="P31" s="1" t="s">
        <v>40</v>
      </c>
      <c r="Q31" s="1">
        <v>454.26440000000002</v>
      </c>
      <c r="R31" s="1" t="s">
        <v>39</v>
      </c>
      <c r="S31" s="1" t="s">
        <v>41</v>
      </c>
      <c r="T31" s="1">
        <v>1.0088999999999999</v>
      </c>
      <c r="U31" s="1" t="s">
        <v>39</v>
      </c>
      <c r="V31" s="1" t="s">
        <v>43</v>
      </c>
      <c r="W31" s="1">
        <v>38.656999999999996</v>
      </c>
      <c r="X31" s="1" t="s">
        <v>39</v>
      </c>
      <c r="Y31" s="3" t="s">
        <v>44</v>
      </c>
      <c r="Z31" s="3">
        <v>108.49039999999999</v>
      </c>
      <c r="AA31" s="3" t="s">
        <v>39</v>
      </c>
      <c r="AB31" s="1" t="s">
        <v>43</v>
      </c>
      <c r="AC31" s="1">
        <v>3.6263999999999998</v>
      </c>
      <c r="AD31" s="1" t="s">
        <v>39</v>
      </c>
    </row>
    <row r="32" spans="1:30" ht="15.75" customHeight="1" x14ac:dyDescent="0.15">
      <c r="A32" s="1" t="s">
        <v>43</v>
      </c>
      <c r="B32" s="1">
        <v>2402.9032000000002</v>
      </c>
      <c r="C32" s="1" t="s">
        <v>39</v>
      </c>
      <c r="D32" s="1" t="s">
        <v>43</v>
      </c>
      <c r="E32" s="1">
        <v>1181.2906</v>
      </c>
      <c r="F32" s="1" t="s">
        <v>39</v>
      </c>
      <c r="G32" s="1" t="s">
        <v>43</v>
      </c>
      <c r="H32" s="1">
        <v>160.66659999999999</v>
      </c>
      <c r="I32" s="1" t="s">
        <v>39</v>
      </c>
      <c r="J32" s="1" t="s">
        <v>42</v>
      </c>
      <c r="K32" s="1">
        <v>23.361799999999999</v>
      </c>
      <c r="L32" s="1" t="s">
        <v>39</v>
      </c>
      <c r="M32" s="1" t="s">
        <v>43</v>
      </c>
      <c r="N32" s="1">
        <v>9.5500000000000002E-2</v>
      </c>
      <c r="O32" s="1" t="s">
        <v>39</v>
      </c>
      <c r="P32" s="1" t="s">
        <v>44</v>
      </c>
      <c r="Q32" s="1">
        <v>408.6146</v>
      </c>
      <c r="R32" s="1" t="s">
        <v>39</v>
      </c>
      <c r="S32" s="1" t="s">
        <v>42</v>
      </c>
      <c r="T32" s="1">
        <v>0.14299999999999999</v>
      </c>
      <c r="U32" s="1" t="s">
        <v>39</v>
      </c>
      <c r="V32" s="1" t="s">
        <v>42</v>
      </c>
      <c r="W32" s="1">
        <v>5.3864999999999998</v>
      </c>
      <c r="X32" s="1" t="s">
        <v>39</v>
      </c>
      <c r="Y32" s="3" t="s">
        <v>43</v>
      </c>
      <c r="Z32" s="3">
        <v>35.552700000000002</v>
      </c>
      <c r="AA32" s="3" t="s">
        <v>39</v>
      </c>
      <c r="AB32" s="1" t="s">
        <v>41</v>
      </c>
      <c r="AC32" s="1">
        <v>3.0444</v>
      </c>
      <c r="AD32" s="1" t="s">
        <v>39</v>
      </c>
    </row>
    <row r="33" spans="1:30" ht="15.75" customHeight="1" x14ac:dyDescent="0.15">
      <c r="A33" s="1" t="s">
        <v>45</v>
      </c>
      <c r="B33" s="1">
        <v>53</v>
      </c>
      <c r="C33" s="1" t="s">
        <v>36</v>
      </c>
      <c r="D33" s="1" t="s">
        <v>45</v>
      </c>
      <c r="E33" s="1">
        <v>117</v>
      </c>
      <c r="F33" s="1" t="s">
        <v>36</v>
      </c>
      <c r="G33" s="1" t="s">
        <v>45</v>
      </c>
      <c r="H33" s="1">
        <v>5753</v>
      </c>
      <c r="I33" s="1" t="s">
        <v>37</v>
      </c>
      <c r="J33" s="1" t="s">
        <v>45</v>
      </c>
      <c r="K33" s="1">
        <v>1584</v>
      </c>
      <c r="L33" s="1" t="s">
        <v>37</v>
      </c>
      <c r="M33" s="1" t="s">
        <v>45</v>
      </c>
      <c r="N33" s="1">
        <v>77.703199999999995</v>
      </c>
      <c r="O33" s="1" t="s">
        <v>37</v>
      </c>
      <c r="P33" s="1" t="s">
        <v>45</v>
      </c>
      <c r="Q33" s="1">
        <v>3223</v>
      </c>
      <c r="R33" s="1" t="s">
        <v>37</v>
      </c>
      <c r="S33" s="1" t="s">
        <v>45</v>
      </c>
      <c r="T33" s="1">
        <v>6439.5438000000004</v>
      </c>
      <c r="U33" s="1" t="s">
        <v>46</v>
      </c>
      <c r="V33" s="1" t="s">
        <v>45</v>
      </c>
      <c r="W33" s="1">
        <v>58.631399999999999</v>
      </c>
      <c r="X33" s="1" t="s">
        <v>37</v>
      </c>
      <c r="Y33" s="3" t="s">
        <v>45</v>
      </c>
      <c r="Z33" s="3">
        <v>30</v>
      </c>
      <c r="AA33" s="3" t="s">
        <v>36</v>
      </c>
      <c r="AB33" s="1" t="s">
        <v>45</v>
      </c>
      <c r="AC33" s="1">
        <v>3809.2332999999999</v>
      </c>
      <c r="AD33" s="1" t="s">
        <v>46</v>
      </c>
    </row>
    <row r="34" spans="1:30" ht="15.75" customHeight="1" x14ac:dyDescent="0.15">
      <c r="A34" s="1" t="s">
        <v>47</v>
      </c>
      <c r="B34" s="1">
        <v>1230</v>
      </c>
      <c r="C34" s="1" t="s">
        <v>37</v>
      </c>
      <c r="D34" s="1" t="s">
        <v>47</v>
      </c>
      <c r="E34" s="1">
        <v>2724</v>
      </c>
      <c r="F34" s="1" t="s">
        <v>37</v>
      </c>
      <c r="G34" s="1" t="s">
        <v>47</v>
      </c>
      <c r="H34" s="1">
        <v>133.95160000000001</v>
      </c>
      <c r="I34" s="1" t="s">
        <v>37</v>
      </c>
      <c r="J34" s="1" t="s">
        <v>47</v>
      </c>
      <c r="K34" s="1">
        <v>36.873600000000003</v>
      </c>
      <c r="L34" s="1" t="s">
        <v>37</v>
      </c>
      <c r="M34" s="1" t="s">
        <v>47</v>
      </c>
      <c r="N34" s="1">
        <v>1808.9680000000001</v>
      </c>
      <c r="O34" s="1" t="s">
        <v>46</v>
      </c>
      <c r="P34" s="1" t="s">
        <v>47</v>
      </c>
      <c r="Q34" s="1">
        <v>75.040000000000006</v>
      </c>
      <c r="R34" s="1" t="s">
        <v>37</v>
      </c>
      <c r="S34" s="1" t="s">
        <v>47</v>
      </c>
      <c r="T34" s="1">
        <v>149.92420000000001</v>
      </c>
      <c r="U34" s="1" t="s">
        <v>46</v>
      </c>
      <c r="V34" s="1" t="s">
        <v>47</v>
      </c>
      <c r="W34" s="1">
        <v>1365.0326</v>
      </c>
      <c r="X34" s="1" t="s">
        <v>46</v>
      </c>
      <c r="Y34" s="3" t="s">
        <v>47</v>
      </c>
      <c r="Z34" s="3">
        <v>693.52210000000002</v>
      </c>
      <c r="AA34" s="3" t="s">
        <v>37</v>
      </c>
      <c r="AB34" s="1" t="s">
        <v>47</v>
      </c>
      <c r="AC34" s="1">
        <v>88.685100000000006</v>
      </c>
      <c r="AD34" s="1" t="s">
        <v>46</v>
      </c>
    </row>
    <row r="35" spans="1:30" ht="15.75" customHeight="1" x14ac:dyDescent="0.15">
      <c r="A35" s="1" t="s">
        <v>48</v>
      </c>
      <c r="B35" s="1">
        <v>46</v>
      </c>
      <c r="C35" s="1" t="s">
        <v>36</v>
      </c>
      <c r="D35" s="1" t="s">
        <v>48</v>
      </c>
      <c r="E35" s="1">
        <v>20</v>
      </c>
      <c r="F35" s="1" t="s">
        <v>36</v>
      </c>
      <c r="G35" s="1" t="s">
        <v>48</v>
      </c>
      <c r="H35" s="1">
        <v>1193</v>
      </c>
      <c r="I35" s="1" t="s">
        <v>37</v>
      </c>
      <c r="J35" s="1" t="s">
        <v>48</v>
      </c>
      <c r="K35" s="1">
        <v>891.20519999999999</v>
      </c>
      <c r="L35" s="1" t="s">
        <v>37</v>
      </c>
      <c r="M35" s="1" t="s">
        <v>48</v>
      </c>
      <c r="N35" s="1">
        <v>4701.5501000000004</v>
      </c>
      <c r="O35" s="1" t="s">
        <v>46</v>
      </c>
      <c r="P35" s="1" t="s">
        <v>48</v>
      </c>
      <c r="Q35" s="1">
        <v>779.78899999999999</v>
      </c>
      <c r="R35" s="1" t="s">
        <v>37</v>
      </c>
      <c r="S35" s="1" t="s">
        <v>48</v>
      </c>
      <c r="T35" s="1">
        <v>20.379300000000001</v>
      </c>
      <c r="U35" s="1" t="s">
        <v>37</v>
      </c>
      <c r="V35" s="1" t="s">
        <v>48</v>
      </c>
      <c r="W35" s="1">
        <v>1663</v>
      </c>
      <c r="X35" s="1" t="s">
        <v>37</v>
      </c>
      <c r="Y35" s="3" t="s">
        <v>48</v>
      </c>
      <c r="Z35" s="3">
        <v>201.03989999999999</v>
      </c>
      <c r="AA35" s="3" t="s">
        <v>37</v>
      </c>
      <c r="AB35" s="1" t="s">
        <v>48</v>
      </c>
      <c r="AC35" s="1">
        <v>107.58750000000001</v>
      </c>
      <c r="AD35" s="1" t="s">
        <v>37</v>
      </c>
    </row>
    <row r="36" spans="1:30" ht="15.75" customHeight="1" x14ac:dyDescent="0.15">
      <c r="A36" s="1" t="s">
        <v>49</v>
      </c>
      <c r="B36" s="1">
        <v>3537</v>
      </c>
      <c r="C36" s="1" t="s">
        <v>37</v>
      </c>
      <c r="D36" s="1" t="s">
        <v>49</v>
      </c>
      <c r="E36" s="1">
        <v>1560</v>
      </c>
      <c r="F36" s="1" t="s">
        <v>37</v>
      </c>
      <c r="G36" s="1" t="s">
        <v>49</v>
      </c>
      <c r="H36" s="1">
        <v>92.289400000000001</v>
      </c>
      <c r="I36" s="1" t="s">
        <v>37</v>
      </c>
      <c r="J36" s="1" t="s">
        <v>49</v>
      </c>
      <c r="K36" s="1">
        <v>68.8767</v>
      </c>
      <c r="L36" s="1" t="s">
        <v>37</v>
      </c>
      <c r="M36" s="1" t="s">
        <v>49</v>
      </c>
      <c r="N36" s="1">
        <v>52.687100000000001</v>
      </c>
      <c r="O36" s="1" t="s">
        <v>46</v>
      </c>
      <c r="P36" s="1" t="s">
        <v>49</v>
      </c>
      <c r="Q36" s="1">
        <v>60.308599999999998</v>
      </c>
      <c r="R36" s="1" t="s">
        <v>37</v>
      </c>
      <c r="S36" s="1" t="s">
        <v>49</v>
      </c>
      <c r="T36" s="1">
        <v>1574.317</v>
      </c>
      <c r="U36" s="1" t="s">
        <v>46</v>
      </c>
      <c r="V36" s="1" t="s">
        <v>49</v>
      </c>
      <c r="W36" s="1">
        <v>128.471</v>
      </c>
      <c r="X36" s="1" t="s">
        <v>37</v>
      </c>
      <c r="Y36" s="3" t="s">
        <v>49</v>
      </c>
      <c r="Z36" s="3">
        <v>16.221</v>
      </c>
      <c r="AA36" s="3" t="s">
        <v>37</v>
      </c>
      <c r="AB36" s="1" t="s">
        <v>49</v>
      </c>
      <c r="AC36" s="1">
        <v>8310.5355999999992</v>
      </c>
      <c r="AD36" s="1" t="s">
        <v>46</v>
      </c>
    </row>
    <row r="37" spans="1:30" ht="15.75" customHeight="1" x14ac:dyDescent="0.15">
      <c r="A37" s="1" t="s">
        <v>50</v>
      </c>
      <c r="B37" s="1">
        <v>50.188800000000001</v>
      </c>
      <c r="C37" s="1" t="s">
        <v>37</v>
      </c>
      <c r="D37" s="1" t="s">
        <v>50</v>
      </c>
      <c r="E37" s="1">
        <v>111.1497</v>
      </c>
      <c r="F37" s="1" t="s">
        <v>37</v>
      </c>
      <c r="G37" s="1" t="s">
        <v>50</v>
      </c>
      <c r="H37" s="1">
        <v>5464.8167000000003</v>
      </c>
      <c r="I37" s="1" t="s">
        <v>46</v>
      </c>
      <c r="J37" s="1" t="s">
        <v>50</v>
      </c>
      <c r="K37" s="1">
        <v>1504.3326</v>
      </c>
      <c r="L37" s="1" t="s">
        <v>46</v>
      </c>
      <c r="M37" s="1" t="s">
        <v>50</v>
      </c>
      <c r="N37" s="1">
        <v>73.800399999999996</v>
      </c>
      <c r="O37" s="1" t="s">
        <v>46</v>
      </c>
      <c r="P37" s="1" t="s">
        <v>50</v>
      </c>
      <c r="Q37" s="1">
        <v>3061.4043000000001</v>
      </c>
      <c r="R37" s="1" t="s">
        <v>46</v>
      </c>
      <c r="S37" s="1" t="s">
        <v>50</v>
      </c>
      <c r="T37" s="1">
        <v>6.1165000000000003</v>
      </c>
      <c r="U37" s="1" t="s">
        <v>46</v>
      </c>
      <c r="V37" s="1" t="s">
        <v>50</v>
      </c>
      <c r="W37" s="1">
        <v>55.6892</v>
      </c>
      <c r="X37" s="1" t="s">
        <v>46</v>
      </c>
      <c r="Y37" s="3" t="s">
        <v>50</v>
      </c>
      <c r="Z37" s="3">
        <v>28.293600000000001</v>
      </c>
      <c r="AA37" s="3" t="s">
        <v>37</v>
      </c>
      <c r="AB37" s="1" t="s">
        <v>50</v>
      </c>
      <c r="AC37" s="1">
        <v>3.6181000000000001</v>
      </c>
      <c r="AD37" s="1" t="s">
        <v>46</v>
      </c>
    </row>
    <row r="38" spans="1:30" ht="15.75" customHeight="1" x14ac:dyDescent="0.15">
      <c r="A38" s="1" t="s">
        <v>51</v>
      </c>
      <c r="B38" s="1">
        <v>557.89940000000001</v>
      </c>
      <c r="C38" s="1" t="s">
        <v>37</v>
      </c>
      <c r="D38" s="1" t="s">
        <v>51</v>
      </c>
      <c r="E38" s="1">
        <v>246.15350000000001</v>
      </c>
      <c r="F38" s="1" t="s">
        <v>37</v>
      </c>
      <c r="G38" s="1" t="s">
        <v>51</v>
      </c>
      <c r="H38" s="1">
        <v>14.5587</v>
      </c>
      <c r="I38" s="1" t="s">
        <v>37</v>
      </c>
      <c r="J38" s="1" t="s">
        <v>51</v>
      </c>
      <c r="K38" s="1">
        <v>10.8653</v>
      </c>
      <c r="L38" s="1" t="s">
        <v>37</v>
      </c>
      <c r="M38" s="1" t="s">
        <v>51</v>
      </c>
      <c r="N38" s="1">
        <v>8.3114000000000008</v>
      </c>
      <c r="O38" s="1" t="s">
        <v>46</v>
      </c>
      <c r="P38" s="1" t="s">
        <v>51</v>
      </c>
      <c r="Q38" s="1">
        <v>9513.6789000000008</v>
      </c>
      <c r="R38" s="1" t="s">
        <v>46</v>
      </c>
      <c r="S38" s="1" t="s">
        <v>51</v>
      </c>
      <c r="T38" s="1">
        <v>248.3485</v>
      </c>
      <c r="U38" s="1" t="s">
        <v>46</v>
      </c>
      <c r="V38" s="1" t="s">
        <v>51</v>
      </c>
      <c r="W38" s="1">
        <v>20.266300000000001</v>
      </c>
      <c r="X38" s="1" t="s">
        <v>37</v>
      </c>
      <c r="Y38" s="3" t="s">
        <v>51</v>
      </c>
      <c r="Z38" s="3">
        <v>2558.8697000000002</v>
      </c>
      <c r="AA38" s="3" t="s">
        <v>46</v>
      </c>
      <c r="AB38" s="1" t="s">
        <v>51</v>
      </c>
      <c r="AC38" s="1">
        <v>1310.9871000000001</v>
      </c>
      <c r="AD38" s="1" t="s">
        <v>46</v>
      </c>
    </row>
    <row r="39" spans="1:30" ht="15.75" customHeight="1" x14ac:dyDescent="0.15">
      <c r="A39" s="1" t="s">
        <v>52</v>
      </c>
      <c r="B39" s="1">
        <v>5749</v>
      </c>
      <c r="C39" s="1" t="s">
        <v>37</v>
      </c>
      <c r="D39" s="1" t="s">
        <v>52</v>
      </c>
      <c r="E39" s="1">
        <v>2535</v>
      </c>
      <c r="F39" s="1" t="s">
        <v>37</v>
      </c>
      <c r="G39" s="1" t="s">
        <v>52</v>
      </c>
      <c r="H39" s="1">
        <v>149.9331</v>
      </c>
      <c r="I39" s="1" t="s">
        <v>37</v>
      </c>
      <c r="J39" s="1" t="s">
        <v>52</v>
      </c>
      <c r="K39" s="1">
        <v>111.95569999999999</v>
      </c>
      <c r="L39" s="1" t="s">
        <v>37</v>
      </c>
      <c r="M39" s="1" t="s">
        <v>52</v>
      </c>
      <c r="N39" s="1">
        <v>83.980900000000005</v>
      </c>
      <c r="O39" s="1" t="s">
        <v>46</v>
      </c>
      <c r="P39" s="1" t="s">
        <v>52</v>
      </c>
      <c r="Q39" s="1">
        <v>97.988799999999998</v>
      </c>
      <c r="R39" s="1" t="s">
        <v>37</v>
      </c>
      <c r="S39" s="1" t="s">
        <v>52</v>
      </c>
      <c r="T39" s="1">
        <v>2559.6217999999999</v>
      </c>
      <c r="U39" s="1" t="s">
        <v>46</v>
      </c>
      <c r="V39" s="1" t="s">
        <v>52</v>
      </c>
      <c r="W39" s="1">
        <v>208.88630000000001</v>
      </c>
      <c r="X39" s="1" t="s">
        <v>37</v>
      </c>
      <c r="Y39" s="3" t="s">
        <v>52</v>
      </c>
      <c r="Z39" s="3">
        <v>25.728300000000001</v>
      </c>
      <c r="AA39" s="3" t="s">
        <v>37</v>
      </c>
      <c r="AB39" s="1" t="s">
        <v>52</v>
      </c>
      <c r="AC39" s="1">
        <v>13.5124</v>
      </c>
      <c r="AD39" s="1" t="s">
        <v>37</v>
      </c>
    </row>
    <row r="40" spans="1:30" ht="15.75" customHeight="1" x14ac:dyDescent="0.15">
      <c r="A40" s="1" t="s">
        <v>53</v>
      </c>
      <c r="B40" s="1">
        <v>19</v>
      </c>
      <c r="C40" s="1" t="s">
        <v>36</v>
      </c>
      <c r="D40" s="1" t="s">
        <v>53</v>
      </c>
      <c r="E40" s="1">
        <v>8361</v>
      </c>
      <c r="F40" s="1" t="s">
        <v>37</v>
      </c>
      <c r="G40" s="1" t="s">
        <v>53</v>
      </c>
      <c r="H40" s="1">
        <v>494.48649999999998</v>
      </c>
      <c r="I40" s="1" t="s">
        <v>37</v>
      </c>
      <c r="J40" s="1" t="s">
        <v>53</v>
      </c>
      <c r="K40" s="1">
        <v>369.0412</v>
      </c>
      <c r="L40" s="1" t="s">
        <v>37</v>
      </c>
      <c r="M40" s="1" t="s">
        <v>53</v>
      </c>
      <c r="N40" s="1">
        <v>282.29770000000002</v>
      </c>
      <c r="O40" s="1" t="s">
        <v>46</v>
      </c>
      <c r="P40" s="1" t="s">
        <v>53</v>
      </c>
      <c r="Q40" s="1">
        <v>323.13330000000002</v>
      </c>
      <c r="R40" s="1" t="s">
        <v>37</v>
      </c>
      <c r="S40" s="1" t="s">
        <v>53</v>
      </c>
      <c r="T40" s="1">
        <v>8435.1898999999994</v>
      </c>
      <c r="U40" s="1" t="s">
        <v>46</v>
      </c>
      <c r="V40" s="1" t="s">
        <v>53</v>
      </c>
      <c r="W40" s="1">
        <v>688.34770000000003</v>
      </c>
      <c r="X40" s="1" t="s">
        <v>37</v>
      </c>
      <c r="Y40" s="3" t="s">
        <v>53</v>
      </c>
      <c r="Z40" s="3">
        <v>86.912300000000002</v>
      </c>
      <c r="AA40" s="3" t="s">
        <v>37</v>
      </c>
      <c r="AB40" s="1" t="s">
        <v>53</v>
      </c>
      <c r="AC40" s="1">
        <v>44.527799999999999</v>
      </c>
      <c r="AD40" s="1" t="s">
        <v>37</v>
      </c>
    </row>
    <row r="41" spans="1:30" ht="15.75" customHeight="1" x14ac:dyDescent="0.15">
      <c r="A41" s="1" t="s">
        <v>54</v>
      </c>
      <c r="B41" s="1">
        <v>373.27100000000002</v>
      </c>
      <c r="C41" s="1" t="s">
        <v>37</v>
      </c>
      <c r="D41" s="1" t="s">
        <v>54</v>
      </c>
      <c r="E41" s="1">
        <v>164.6927</v>
      </c>
      <c r="F41" s="1" t="s">
        <v>37</v>
      </c>
      <c r="G41" s="1" t="s">
        <v>54</v>
      </c>
      <c r="H41" s="1">
        <v>9740.6849999999995</v>
      </c>
      <c r="I41" s="1" t="s">
        <v>46</v>
      </c>
      <c r="J41" s="1" t="s">
        <v>54</v>
      </c>
      <c r="K41" s="1">
        <v>7269.59</v>
      </c>
      <c r="L41" s="1" t="s">
        <v>46</v>
      </c>
      <c r="M41" s="1" t="s">
        <v>54</v>
      </c>
      <c r="N41" s="1">
        <v>5.5609000000000002</v>
      </c>
      <c r="O41" s="1" t="s">
        <v>46</v>
      </c>
      <c r="P41" s="1" t="s">
        <v>54</v>
      </c>
      <c r="Q41" s="1">
        <v>6365.27</v>
      </c>
      <c r="R41" s="1" t="s">
        <v>46</v>
      </c>
      <c r="S41" s="1" t="s">
        <v>54</v>
      </c>
      <c r="T41" s="1">
        <v>166.16130000000001</v>
      </c>
      <c r="U41" s="1" t="s">
        <v>46</v>
      </c>
      <c r="V41" s="1" t="s">
        <v>54</v>
      </c>
      <c r="W41" s="1">
        <v>13.5595</v>
      </c>
      <c r="X41" s="1" t="s">
        <v>37</v>
      </c>
      <c r="Y41" s="3" t="s">
        <v>54</v>
      </c>
      <c r="Z41" s="3">
        <v>1712.0501999999999</v>
      </c>
      <c r="AA41" s="3" t="s">
        <v>46</v>
      </c>
      <c r="AB41" s="1" t="s">
        <v>54</v>
      </c>
      <c r="AC41" s="1">
        <v>877.13559999999995</v>
      </c>
      <c r="AD41" s="1" t="s">
        <v>46</v>
      </c>
    </row>
    <row r="42" spans="1:30" ht="15.75" customHeight="1" x14ac:dyDescent="0.15">
      <c r="A42" s="1" t="s">
        <v>55</v>
      </c>
      <c r="B42" s="1">
        <v>5326</v>
      </c>
      <c r="C42" s="1" t="s">
        <v>37</v>
      </c>
      <c r="D42" s="1" t="s">
        <v>55</v>
      </c>
      <c r="E42" s="1">
        <v>2350</v>
      </c>
      <c r="F42" s="1" t="s">
        <v>37</v>
      </c>
      <c r="G42" s="1" t="s">
        <v>55</v>
      </c>
      <c r="H42" s="1">
        <v>138.98320000000001</v>
      </c>
      <c r="I42" s="1" t="s">
        <v>37</v>
      </c>
      <c r="J42" s="1" t="s">
        <v>55</v>
      </c>
      <c r="K42" s="1">
        <v>103.7248</v>
      </c>
      <c r="L42" s="1" t="s">
        <v>37</v>
      </c>
      <c r="M42" s="1" t="s">
        <v>55</v>
      </c>
      <c r="N42" s="1">
        <v>79.344200000000001</v>
      </c>
      <c r="O42" s="1" t="s">
        <v>46</v>
      </c>
      <c r="P42" s="1" t="s">
        <v>55</v>
      </c>
      <c r="Q42" s="1">
        <v>90.821700000000007</v>
      </c>
      <c r="R42" s="1" t="s">
        <v>37</v>
      </c>
      <c r="S42" s="1" t="s">
        <v>55</v>
      </c>
      <c r="T42" s="1">
        <v>2370.8418999999999</v>
      </c>
      <c r="U42" s="1" t="s">
        <v>46</v>
      </c>
      <c r="V42" s="1" t="s">
        <v>55</v>
      </c>
      <c r="W42" s="1">
        <v>193.4709</v>
      </c>
      <c r="X42" s="1" t="s">
        <v>37</v>
      </c>
      <c r="Y42" s="3" t="s">
        <v>55</v>
      </c>
      <c r="Z42" s="3">
        <v>24.428100000000001</v>
      </c>
      <c r="AA42" s="3" t="s">
        <v>37</v>
      </c>
      <c r="AB42" s="1" t="s">
        <v>55</v>
      </c>
      <c r="AC42" s="1">
        <v>12.5152</v>
      </c>
      <c r="AD42" s="1" t="s">
        <v>37</v>
      </c>
    </row>
    <row r="43" spans="1:30" ht="15.75" customHeight="1" x14ac:dyDescent="0.15">
      <c r="A43" s="1" t="s">
        <v>56</v>
      </c>
      <c r="B43" s="1">
        <v>11</v>
      </c>
      <c r="C43" s="1" t="s">
        <v>36</v>
      </c>
      <c r="D43" s="1" t="s">
        <v>56</v>
      </c>
      <c r="E43" s="1">
        <v>4831</v>
      </c>
      <c r="F43" s="1" t="s">
        <v>37</v>
      </c>
      <c r="G43" s="1" t="s">
        <v>56</v>
      </c>
      <c r="H43" s="1">
        <v>285.70249999999999</v>
      </c>
      <c r="I43" s="1" t="s">
        <v>37</v>
      </c>
      <c r="J43" s="1" t="s">
        <v>56</v>
      </c>
      <c r="K43" s="1">
        <v>213.22319999999999</v>
      </c>
      <c r="L43" s="1" t="s">
        <v>37</v>
      </c>
      <c r="M43" s="1" t="s">
        <v>56</v>
      </c>
      <c r="N43" s="1">
        <v>163.10489999999999</v>
      </c>
      <c r="O43" s="1" t="s">
        <v>46</v>
      </c>
      <c r="P43" s="1" t="s">
        <v>56</v>
      </c>
      <c r="Q43" s="1">
        <v>186.6987</v>
      </c>
      <c r="R43" s="1" t="s">
        <v>37</v>
      </c>
      <c r="S43" s="1" t="s">
        <v>56</v>
      </c>
      <c r="T43" s="1">
        <v>4873.6509999999998</v>
      </c>
      <c r="U43" s="1" t="s">
        <v>46</v>
      </c>
      <c r="V43" s="1" t="s">
        <v>56</v>
      </c>
      <c r="W43" s="1">
        <v>397.71080000000001</v>
      </c>
      <c r="X43" s="1" t="s">
        <v>37</v>
      </c>
      <c r="Y43" s="3" t="s">
        <v>56</v>
      </c>
      <c r="Z43" s="3">
        <v>50.215899999999998</v>
      </c>
      <c r="AA43" s="3" t="s">
        <v>37</v>
      </c>
      <c r="AB43" s="1" t="s">
        <v>56</v>
      </c>
      <c r="AC43" s="1">
        <v>25.7271</v>
      </c>
      <c r="AD43" s="1" t="s">
        <v>37</v>
      </c>
    </row>
    <row r="44" spans="1:30" ht="15.75" customHeight="1" x14ac:dyDescent="0.15">
      <c r="A44" s="1" t="s">
        <v>57</v>
      </c>
      <c r="B44" s="1">
        <v>22.375</v>
      </c>
      <c r="C44" s="1" t="s">
        <v>18</v>
      </c>
      <c r="D44" s="1" t="s">
        <v>57</v>
      </c>
      <c r="E44" s="1">
        <v>9.8721999999999994</v>
      </c>
      <c r="F44" s="1" t="s">
        <v>18</v>
      </c>
      <c r="G44" s="1" t="s">
        <v>57</v>
      </c>
      <c r="H44" s="1">
        <v>0.58389999999999997</v>
      </c>
      <c r="I44" s="1" t="s">
        <v>18</v>
      </c>
      <c r="J44" s="1" t="s">
        <v>57</v>
      </c>
      <c r="K44" s="1">
        <v>0.43580000000000002</v>
      </c>
      <c r="L44" s="1" t="s">
        <v>18</v>
      </c>
      <c r="M44" s="1" t="s">
        <v>57</v>
      </c>
      <c r="N44" s="1">
        <v>0.33329999999999999</v>
      </c>
      <c r="O44" s="1" t="s">
        <v>27</v>
      </c>
      <c r="P44" s="1" t="s">
        <v>57</v>
      </c>
      <c r="Q44" s="1">
        <v>0.38159999999999999</v>
      </c>
      <c r="R44" s="1" t="s">
        <v>18</v>
      </c>
      <c r="S44" s="1" t="s">
        <v>57</v>
      </c>
      <c r="T44" s="1">
        <v>9.9602000000000004</v>
      </c>
      <c r="U44" s="1" t="s">
        <v>27</v>
      </c>
      <c r="V44" s="1" t="s">
        <v>57</v>
      </c>
      <c r="W44" s="1">
        <v>0.81279999999999997</v>
      </c>
      <c r="X44" s="1" t="s">
        <v>18</v>
      </c>
      <c r="Y44" s="3" t="s">
        <v>57</v>
      </c>
      <c r="Z44" s="3">
        <v>0.1026</v>
      </c>
      <c r="AA44" s="3" t="s">
        <v>18</v>
      </c>
      <c r="AB44" s="1" t="s">
        <v>57</v>
      </c>
      <c r="AC44" s="1">
        <v>52.578299999999999</v>
      </c>
      <c r="AD44" s="1" t="s">
        <v>27</v>
      </c>
    </row>
    <row r="45" spans="1:30" ht="15.75" customHeight="1" x14ac:dyDescent="0.15">
      <c r="A45" s="1" t="s">
        <v>58</v>
      </c>
      <c r="B45" s="1">
        <v>66.544499999999999</v>
      </c>
      <c r="C45" s="1" t="s">
        <v>18</v>
      </c>
      <c r="D45" s="1" t="s">
        <v>58</v>
      </c>
      <c r="E45" s="1">
        <v>29.360399999999998</v>
      </c>
      <c r="F45" s="1" t="s">
        <v>18</v>
      </c>
      <c r="G45" s="1" t="s">
        <v>58</v>
      </c>
      <c r="H45" s="1">
        <v>1.7364999999999999</v>
      </c>
      <c r="I45" s="1" t="s">
        <v>18</v>
      </c>
      <c r="J45" s="1" t="s">
        <v>58</v>
      </c>
      <c r="K45" s="1">
        <v>1.296</v>
      </c>
      <c r="L45" s="1" t="s">
        <v>18</v>
      </c>
      <c r="M45" s="1" t="s">
        <v>58</v>
      </c>
      <c r="N45" s="1">
        <v>0.99139999999999995</v>
      </c>
      <c r="O45" s="1" t="s">
        <v>27</v>
      </c>
      <c r="P45" s="1" t="s">
        <v>58</v>
      </c>
      <c r="Q45" s="1">
        <v>1.1348</v>
      </c>
      <c r="R45" s="1" t="s">
        <v>18</v>
      </c>
      <c r="S45" s="1" t="s">
        <v>58</v>
      </c>
      <c r="T45" s="1">
        <v>29.622299999999999</v>
      </c>
      <c r="U45" s="1" t="s">
        <v>27</v>
      </c>
      <c r="V45" s="1" t="s">
        <v>58</v>
      </c>
      <c r="W45" s="1">
        <v>2.4173</v>
      </c>
      <c r="X45" s="1" t="s">
        <v>18</v>
      </c>
      <c r="Y45" s="3" t="s">
        <v>58</v>
      </c>
      <c r="Z45" s="3">
        <v>0.30520000000000003</v>
      </c>
      <c r="AA45" s="3" t="s">
        <v>18</v>
      </c>
      <c r="AB45" s="1" t="s">
        <v>58</v>
      </c>
      <c r="AC45" s="1">
        <v>0.15640000000000001</v>
      </c>
      <c r="AD45" s="1" t="s">
        <v>18</v>
      </c>
    </row>
    <row r="46" spans="1:30" ht="15.75" customHeight="1" x14ac:dyDescent="0.15">
      <c r="A46" s="1" t="s">
        <v>59</v>
      </c>
      <c r="B46" s="1">
        <v>3992</v>
      </c>
      <c r="C46" s="1" t="s">
        <v>37</v>
      </c>
      <c r="D46" s="1" t="s">
        <v>59</v>
      </c>
      <c r="E46" s="1">
        <v>8841</v>
      </c>
      <c r="F46" s="1" t="s">
        <v>37</v>
      </c>
      <c r="G46" s="1" t="s">
        <v>59</v>
      </c>
      <c r="H46" s="1">
        <v>434.6902</v>
      </c>
      <c r="I46" s="1" t="s">
        <v>37</v>
      </c>
      <c r="J46" s="1" t="s">
        <v>59</v>
      </c>
      <c r="K46" s="1">
        <v>119.6598</v>
      </c>
      <c r="L46" s="1" t="s">
        <v>37</v>
      </c>
      <c r="M46" s="1" t="s">
        <v>59</v>
      </c>
      <c r="N46" s="1">
        <v>5870.3356000000003</v>
      </c>
      <c r="O46" s="1" t="s">
        <v>46</v>
      </c>
      <c r="P46" s="1" t="s">
        <v>59</v>
      </c>
      <c r="Q46" s="1">
        <v>243.5146</v>
      </c>
      <c r="R46" s="1" t="s">
        <v>37</v>
      </c>
      <c r="S46" s="1" t="s">
        <v>59</v>
      </c>
      <c r="T46" s="1">
        <v>486.52350000000001</v>
      </c>
      <c r="U46" s="1" t="s">
        <v>46</v>
      </c>
      <c r="V46" s="1" t="s">
        <v>59</v>
      </c>
      <c r="W46" s="1">
        <v>4429.7079000000003</v>
      </c>
      <c r="X46" s="1" t="s">
        <v>46</v>
      </c>
      <c r="Y46" s="3" t="s">
        <v>59</v>
      </c>
      <c r="Z46" s="3">
        <v>2251</v>
      </c>
      <c r="AA46" s="3" t="s">
        <v>37</v>
      </c>
      <c r="AB46" s="1" t="s">
        <v>59</v>
      </c>
      <c r="AC46" s="1">
        <v>287.7946</v>
      </c>
      <c r="AD46" s="1" t="s">
        <v>46</v>
      </c>
    </row>
    <row r="47" spans="1:30" ht="15.75" customHeight="1" x14ac:dyDescent="0.15">
      <c r="A47" s="1" t="s">
        <v>60</v>
      </c>
      <c r="B47" s="1">
        <v>4345</v>
      </c>
      <c r="C47" s="1" t="s">
        <v>37</v>
      </c>
      <c r="D47" s="1" t="s">
        <v>60</v>
      </c>
      <c r="E47" s="1">
        <v>9623</v>
      </c>
      <c r="F47" s="1" t="s">
        <v>37</v>
      </c>
      <c r="G47" s="1" t="s">
        <v>60</v>
      </c>
      <c r="H47" s="1">
        <v>473.14060000000001</v>
      </c>
      <c r="I47" s="1" t="s">
        <v>37</v>
      </c>
      <c r="J47" s="1" t="s">
        <v>60</v>
      </c>
      <c r="K47" s="1">
        <v>130.24420000000001</v>
      </c>
      <c r="L47" s="1" t="s">
        <v>37</v>
      </c>
      <c r="M47" s="1" t="s">
        <v>60</v>
      </c>
      <c r="N47" s="1">
        <v>6389.5937000000004</v>
      </c>
      <c r="O47" s="1" t="s">
        <v>46</v>
      </c>
      <c r="P47" s="1" t="s">
        <v>60</v>
      </c>
      <c r="Q47" s="1">
        <v>265.05459999999999</v>
      </c>
      <c r="R47" s="1" t="s">
        <v>37</v>
      </c>
      <c r="S47" s="1" t="s">
        <v>60</v>
      </c>
      <c r="T47" s="1">
        <v>529.55870000000004</v>
      </c>
      <c r="U47" s="1" t="s">
        <v>46</v>
      </c>
      <c r="V47" s="1" t="s">
        <v>60</v>
      </c>
      <c r="W47" s="1">
        <v>4821.5358999999999</v>
      </c>
      <c r="X47" s="1" t="s">
        <v>46</v>
      </c>
      <c r="Y47" s="3" t="s">
        <v>60</v>
      </c>
      <c r="Z47" s="3">
        <v>2450</v>
      </c>
      <c r="AA47" s="3" t="s">
        <v>37</v>
      </c>
      <c r="AB47" s="1" t="s">
        <v>60</v>
      </c>
      <c r="AC47" s="1">
        <v>313.25139999999999</v>
      </c>
      <c r="AD47" s="1" t="s">
        <v>46</v>
      </c>
    </row>
    <row r="48" spans="1:30" ht="15.75" customHeight="1" x14ac:dyDescent="0.15">
      <c r="A48" s="1" t="s">
        <v>61</v>
      </c>
      <c r="B48" s="1">
        <v>5137</v>
      </c>
      <c r="C48" s="1" t="s">
        <v>37</v>
      </c>
      <c r="D48" s="1" t="s">
        <v>61</v>
      </c>
      <c r="E48" s="1">
        <v>11</v>
      </c>
      <c r="F48" s="1" t="s">
        <v>36</v>
      </c>
      <c r="G48" s="1" t="s">
        <v>61</v>
      </c>
      <c r="H48" s="1">
        <v>559.30070000000001</v>
      </c>
      <c r="I48" s="1" t="s">
        <v>37</v>
      </c>
      <c r="J48" s="1" t="s">
        <v>61</v>
      </c>
      <c r="K48" s="1">
        <v>153.96199999999999</v>
      </c>
      <c r="L48" s="1" t="s">
        <v>37</v>
      </c>
      <c r="M48" s="1" t="s">
        <v>61</v>
      </c>
      <c r="N48" s="1">
        <v>7553.1549999999997</v>
      </c>
      <c r="O48" s="1" t="s">
        <v>46</v>
      </c>
      <c r="P48" s="1" t="s">
        <v>61</v>
      </c>
      <c r="Q48" s="1">
        <v>313.32170000000002</v>
      </c>
      <c r="R48" s="1" t="s">
        <v>37</v>
      </c>
      <c r="S48" s="1" t="s">
        <v>61</v>
      </c>
      <c r="T48" s="1">
        <v>625.99270000000001</v>
      </c>
      <c r="U48" s="1" t="s">
        <v>46</v>
      </c>
      <c r="V48" s="1" t="s">
        <v>61</v>
      </c>
      <c r="W48" s="1">
        <v>5699.5497999999998</v>
      </c>
      <c r="X48" s="1" t="s">
        <v>46</v>
      </c>
      <c r="Y48" s="3" t="s">
        <v>61</v>
      </c>
      <c r="Z48" s="3">
        <v>2896</v>
      </c>
      <c r="AA48" s="3" t="s">
        <v>37</v>
      </c>
      <c r="AB48" s="1" t="s">
        <v>61</v>
      </c>
      <c r="AC48" s="1">
        <v>370.29520000000002</v>
      </c>
      <c r="AD48" s="1" t="s">
        <v>46</v>
      </c>
    </row>
    <row r="49" spans="1:30" ht="13" x14ac:dyDescent="0.15">
      <c r="A49" s="1" t="s">
        <v>62</v>
      </c>
      <c r="B49" s="1">
        <v>2921.1633999999999</v>
      </c>
      <c r="C49" s="1" t="s">
        <v>46</v>
      </c>
      <c r="D49" s="1" t="s">
        <v>62</v>
      </c>
      <c r="E49" s="1">
        <v>1288.8606</v>
      </c>
      <c r="F49" s="1" t="s">
        <v>46</v>
      </c>
      <c r="G49" s="1" t="s">
        <v>62</v>
      </c>
      <c r="H49" s="1">
        <v>76.229200000000006</v>
      </c>
      <c r="I49" s="1" t="s">
        <v>46</v>
      </c>
      <c r="J49" s="1" t="s">
        <v>62</v>
      </c>
      <c r="K49" s="1">
        <v>56.890700000000002</v>
      </c>
      <c r="L49" s="1" t="s">
        <v>46</v>
      </c>
      <c r="M49" s="1" t="s">
        <v>62</v>
      </c>
      <c r="N49" s="1">
        <v>43.518500000000003</v>
      </c>
      <c r="O49" s="1" t="s">
        <v>63</v>
      </c>
      <c r="P49" s="1" t="s">
        <v>62</v>
      </c>
      <c r="Q49" s="1">
        <v>49.813699999999997</v>
      </c>
      <c r="R49" s="1" t="s">
        <v>46</v>
      </c>
      <c r="S49" s="1" t="s">
        <v>62</v>
      </c>
      <c r="T49" s="1">
        <v>1.3004</v>
      </c>
      <c r="U49" s="1" t="s">
        <v>46</v>
      </c>
      <c r="V49" s="1" t="s">
        <v>62</v>
      </c>
      <c r="W49" s="1">
        <v>106.11450000000001</v>
      </c>
      <c r="X49" s="1" t="s">
        <v>46</v>
      </c>
      <c r="Y49" s="3" t="s">
        <v>62</v>
      </c>
      <c r="Z49" s="3">
        <v>13.398300000000001</v>
      </c>
      <c r="AA49" s="3" t="s">
        <v>46</v>
      </c>
      <c r="AB49" s="1" t="s">
        <v>62</v>
      </c>
      <c r="AC49" s="1">
        <v>6.8643000000000001</v>
      </c>
      <c r="AD49" s="1" t="s">
        <v>46</v>
      </c>
    </row>
    <row r="50" spans="1:30" ht="13" x14ac:dyDescent="0.15">
      <c r="A50" s="1" t="s">
        <v>64</v>
      </c>
      <c r="B50" s="1">
        <v>234</v>
      </c>
      <c r="C50" s="1" t="s">
        <v>36</v>
      </c>
      <c r="D50" s="1" t="s">
        <v>64</v>
      </c>
      <c r="E50" s="1">
        <v>115</v>
      </c>
      <c r="F50" s="1" t="s">
        <v>36</v>
      </c>
      <c r="G50" s="1" t="s">
        <v>64</v>
      </c>
      <c r="H50" s="1">
        <v>16</v>
      </c>
      <c r="I50" s="1" t="s">
        <v>36</v>
      </c>
      <c r="J50" s="1" t="s">
        <v>64</v>
      </c>
      <c r="K50" s="1">
        <v>3496</v>
      </c>
      <c r="L50" s="1" t="s">
        <v>37</v>
      </c>
      <c r="M50" s="1" t="s">
        <v>64</v>
      </c>
      <c r="N50" s="1">
        <v>9294.8952000000008</v>
      </c>
      <c r="O50" s="1" t="s">
        <v>46</v>
      </c>
      <c r="P50" s="1" t="s">
        <v>64</v>
      </c>
      <c r="Q50" s="1">
        <v>49</v>
      </c>
      <c r="R50" s="1" t="s">
        <v>36</v>
      </c>
      <c r="S50" s="1" t="s">
        <v>64</v>
      </c>
      <c r="T50" s="1">
        <v>38</v>
      </c>
      <c r="U50" s="1" t="s">
        <v>36</v>
      </c>
      <c r="V50" s="1" t="s">
        <v>64</v>
      </c>
      <c r="W50" s="1">
        <v>3762</v>
      </c>
      <c r="X50" s="1" t="s">
        <v>37</v>
      </c>
      <c r="Y50" s="3" t="s">
        <v>64</v>
      </c>
      <c r="Z50" s="3">
        <v>3460</v>
      </c>
      <c r="AA50" s="3" t="s">
        <v>37</v>
      </c>
      <c r="AB50" s="1" t="s">
        <v>64</v>
      </c>
      <c r="AC50" s="1">
        <v>352.90050000000002</v>
      </c>
      <c r="AD50" s="1" t="s">
        <v>37</v>
      </c>
    </row>
    <row r="51" spans="1:30" ht="13" x14ac:dyDescent="0.15">
      <c r="A51" s="1" t="s">
        <v>29</v>
      </c>
      <c r="B51" s="1" t="s">
        <v>65</v>
      </c>
      <c r="D51" s="1" t="s">
        <v>29</v>
      </c>
      <c r="E51" s="1" t="s">
        <v>65</v>
      </c>
      <c r="G51" s="1" t="s">
        <v>29</v>
      </c>
      <c r="H51" s="1" t="s">
        <v>65</v>
      </c>
      <c r="J51" s="1" t="s">
        <v>29</v>
      </c>
      <c r="K51" s="1" t="s">
        <v>65</v>
      </c>
      <c r="M51" s="1" t="s">
        <v>29</v>
      </c>
      <c r="N51" s="1" t="s">
        <v>65</v>
      </c>
      <c r="P51" s="1" t="s">
        <v>29</v>
      </c>
      <c r="Q51" s="1" t="s">
        <v>65</v>
      </c>
      <c r="S51" s="1" t="s">
        <v>29</v>
      </c>
      <c r="T51" s="1" t="s">
        <v>65</v>
      </c>
      <c r="V51" s="1" t="s">
        <v>29</v>
      </c>
      <c r="W51" s="1" t="s">
        <v>65</v>
      </c>
      <c r="Y51" s="3" t="s">
        <v>29</v>
      </c>
      <c r="Z51" s="3" t="s">
        <v>65</v>
      </c>
      <c r="AA51" s="3"/>
      <c r="AB51" s="1" t="s">
        <v>29</v>
      </c>
      <c r="AC51" s="1" t="s">
        <v>65</v>
      </c>
    </row>
    <row r="52" spans="1:30" ht="13" x14ac:dyDescent="0.15">
      <c r="A52" s="1" t="s">
        <v>66</v>
      </c>
      <c r="B52" s="1">
        <v>347</v>
      </c>
      <c r="C52" s="1" t="s">
        <v>36</v>
      </c>
      <c r="D52" s="1" t="s">
        <v>66</v>
      </c>
      <c r="E52" s="1">
        <v>285</v>
      </c>
      <c r="F52" s="1" t="s">
        <v>36</v>
      </c>
      <c r="G52" s="1" t="s">
        <v>66</v>
      </c>
      <c r="H52" s="1">
        <v>24</v>
      </c>
      <c r="I52" s="1" t="s">
        <v>36</v>
      </c>
      <c r="J52" s="1" t="s">
        <v>66</v>
      </c>
      <c r="K52" s="1">
        <v>6414</v>
      </c>
      <c r="L52" s="1" t="s">
        <v>37</v>
      </c>
      <c r="M52" s="1" t="s">
        <v>66</v>
      </c>
      <c r="N52" s="1">
        <v>113.3955</v>
      </c>
      <c r="O52" s="1" t="s">
        <v>37</v>
      </c>
      <c r="P52" s="1" t="s">
        <v>66</v>
      </c>
      <c r="Q52" s="1">
        <v>53</v>
      </c>
      <c r="R52" s="1" t="s">
        <v>36</v>
      </c>
      <c r="S52" s="1" t="s">
        <v>66</v>
      </c>
      <c r="T52" s="1">
        <v>38</v>
      </c>
      <c r="U52" s="1" t="s">
        <v>36</v>
      </c>
      <c r="V52" s="1" t="s">
        <v>66</v>
      </c>
      <c r="W52" s="1">
        <v>5500</v>
      </c>
      <c r="X52" s="1" t="s">
        <v>37</v>
      </c>
      <c r="Y52" s="3" t="s">
        <v>66</v>
      </c>
      <c r="Z52" s="3">
        <v>42</v>
      </c>
      <c r="AA52" s="3" t="s">
        <v>36</v>
      </c>
      <c r="AB52" s="1" t="s">
        <v>66</v>
      </c>
      <c r="AC52" s="1">
        <v>465.36090000000002</v>
      </c>
      <c r="AD52" s="1" t="s">
        <v>37</v>
      </c>
    </row>
    <row r="53" spans="1:30" ht="13" x14ac:dyDescent="0.15">
      <c r="A53" s="1" t="s">
        <v>67</v>
      </c>
      <c r="B53" s="1">
        <v>235</v>
      </c>
      <c r="C53" s="1" t="s">
        <v>36</v>
      </c>
      <c r="D53" s="1" t="s">
        <v>68</v>
      </c>
      <c r="E53" s="1">
        <v>147</v>
      </c>
      <c r="F53" s="1" t="s">
        <v>36</v>
      </c>
      <c r="G53" s="1" t="s">
        <v>67</v>
      </c>
      <c r="H53" s="1">
        <v>16</v>
      </c>
      <c r="I53" s="1" t="s">
        <v>36</v>
      </c>
      <c r="J53" s="1" t="s">
        <v>67</v>
      </c>
      <c r="K53" s="1">
        <v>3533</v>
      </c>
      <c r="L53" s="1" t="s">
        <v>37</v>
      </c>
      <c r="M53" s="1" t="s">
        <v>68</v>
      </c>
      <c r="N53" s="1">
        <v>97.59</v>
      </c>
      <c r="O53" s="1" t="s">
        <v>37</v>
      </c>
      <c r="P53" s="1" t="s">
        <v>67</v>
      </c>
      <c r="Q53" s="1">
        <v>49</v>
      </c>
      <c r="R53" s="1" t="s">
        <v>36</v>
      </c>
      <c r="S53" s="1" t="s">
        <v>67</v>
      </c>
      <c r="T53" s="1">
        <v>38</v>
      </c>
      <c r="U53" s="1" t="s">
        <v>36</v>
      </c>
      <c r="V53" s="1" t="s">
        <v>67</v>
      </c>
      <c r="W53" s="1">
        <v>3763</v>
      </c>
      <c r="X53" s="1" t="s">
        <v>37</v>
      </c>
      <c r="Y53" s="3" t="s">
        <v>68</v>
      </c>
      <c r="Z53" s="3">
        <v>37</v>
      </c>
      <c r="AA53" s="3" t="s">
        <v>36</v>
      </c>
      <c r="AB53" s="1" t="s">
        <v>67</v>
      </c>
      <c r="AC53" s="1">
        <v>352.98919999999998</v>
      </c>
      <c r="AD53" s="1" t="s">
        <v>37</v>
      </c>
    </row>
    <row r="54" spans="1:30" ht="13" x14ac:dyDescent="0.15">
      <c r="A54" s="1" t="s">
        <v>68</v>
      </c>
      <c r="B54" s="1">
        <v>66</v>
      </c>
      <c r="C54" s="1" t="s">
        <v>36</v>
      </c>
      <c r="D54" s="1" t="s">
        <v>67</v>
      </c>
      <c r="E54" s="1">
        <v>118</v>
      </c>
      <c r="F54" s="1" t="s">
        <v>36</v>
      </c>
      <c r="G54" s="1" t="s">
        <v>68</v>
      </c>
      <c r="H54" s="1">
        <v>7226</v>
      </c>
      <c r="I54" s="1" t="s">
        <v>37</v>
      </c>
      <c r="J54" s="1" t="s">
        <v>68</v>
      </c>
      <c r="K54" s="1">
        <v>1989</v>
      </c>
      <c r="L54" s="1" t="s">
        <v>37</v>
      </c>
      <c r="M54" s="1" t="s">
        <v>67</v>
      </c>
      <c r="N54" s="1">
        <v>11.103899999999999</v>
      </c>
      <c r="O54" s="1" t="s">
        <v>37</v>
      </c>
      <c r="P54" s="1" t="s">
        <v>68</v>
      </c>
      <c r="Q54" s="1">
        <v>4048</v>
      </c>
      <c r="R54" s="1" t="s">
        <v>37</v>
      </c>
      <c r="S54" s="1" t="s">
        <v>69</v>
      </c>
      <c r="T54" s="1">
        <v>20.379300000000001</v>
      </c>
      <c r="U54" s="1" t="s">
        <v>37</v>
      </c>
      <c r="V54" s="1" t="s">
        <v>69</v>
      </c>
      <c r="W54" s="1">
        <v>1663</v>
      </c>
      <c r="X54" s="1" t="s">
        <v>37</v>
      </c>
      <c r="Y54" s="3" t="s">
        <v>67</v>
      </c>
      <c r="Z54" s="3">
        <v>4153</v>
      </c>
      <c r="AA54" s="3" t="s">
        <v>37</v>
      </c>
      <c r="AB54" s="1" t="s">
        <v>69</v>
      </c>
      <c r="AC54" s="1">
        <v>107.58750000000001</v>
      </c>
      <c r="AD54" s="1" t="s">
        <v>37</v>
      </c>
    </row>
    <row r="55" spans="1:30" ht="13" x14ac:dyDescent="0.15">
      <c r="A55" s="1" t="s">
        <v>69</v>
      </c>
      <c r="B55" s="1">
        <v>46</v>
      </c>
      <c r="C55" s="1" t="s">
        <v>36</v>
      </c>
      <c r="D55" s="1" t="s">
        <v>69</v>
      </c>
      <c r="E55" s="1">
        <v>20</v>
      </c>
      <c r="F55" s="1" t="s">
        <v>36</v>
      </c>
      <c r="G55" s="1" t="s">
        <v>69</v>
      </c>
      <c r="H55" s="1">
        <v>1193</v>
      </c>
      <c r="I55" s="1" t="s">
        <v>37</v>
      </c>
      <c r="J55" s="1" t="s">
        <v>69</v>
      </c>
      <c r="K55" s="1">
        <v>891.20519999999999</v>
      </c>
      <c r="L55" s="1" t="s">
        <v>37</v>
      </c>
      <c r="M55" s="1" t="s">
        <v>69</v>
      </c>
      <c r="N55" s="1">
        <v>4701.5501000000004</v>
      </c>
      <c r="O55" s="1" t="s">
        <v>46</v>
      </c>
      <c r="P55" s="1" t="s">
        <v>69</v>
      </c>
      <c r="Q55" s="1">
        <v>779.78899999999999</v>
      </c>
      <c r="R55" s="1" t="s">
        <v>37</v>
      </c>
      <c r="S55" s="1" t="s">
        <v>70</v>
      </c>
      <c r="T55" s="1">
        <v>20.229399999999998</v>
      </c>
      <c r="U55" s="1" t="s">
        <v>37</v>
      </c>
      <c r="V55" s="1" t="s">
        <v>70</v>
      </c>
      <c r="W55" s="1">
        <v>1651</v>
      </c>
      <c r="X55" s="1" t="s">
        <v>37</v>
      </c>
      <c r="Y55" s="3" t="s">
        <v>70</v>
      </c>
      <c r="Z55" s="3">
        <v>207.78989999999999</v>
      </c>
      <c r="AA55" s="3" t="s">
        <v>37</v>
      </c>
      <c r="AB55" s="1" t="s">
        <v>70</v>
      </c>
      <c r="AC55" s="1">
        <v>106.7882</v>
      </c>
      <c r="AD55" s="1" t="s">
        <v>37</v>
      </c>
    </row>
    <row r="56" spans="1:30" ht="13" x14ac:dyDescent="0.15">
      <c r="A56" s="1" t="s">
        <v>70</v>
      </c>
      <c r="B56" s="1">
        <v>45</v>
      </c>
      <c r="C56" s="1" t="s">
        <v>36</v>
      </c>
      <c r="D56" s="1" t="s">
        <v>70</v>
      </c>
      <c r="E56" s="1">
        <v>20</v>
      </c>
      <c r="F56" s="1" t="s">
        <v>36</v>
      </c>
      <c r="G56" s="1" t="s">
        <v>70</v>
      </c>
      <c r="H56" s="1">
        <v>1186</v>
      </c>
      <c r="I56" s="1" t="s">
        <v>37</v>
      </c>
      <c r="J56" s="1" t="s">
        <v>70</v>
      </c>
      <c r="K56" s="1">
        <v>885.01329999999996</v>
      </c>
      <c r="L56" s="1" t="s">
        <v>37</v>
      </c>
      <c r="M56" s="1" t="s">
        <v>70</v>
      </c>
      <c r="N56" s="1">
        <v>675.33050000000003</v>
      </c>
      <c r="O56" s="1" t="s">
        <v>46</v>
      </c>
      <c r="P56" s="1" t="s">
        <v>70</v>
      </c>
      <c r="Q56" s="1">
        <v>774.87990000000002</v>
      </c>
      <c r="R56" s="1" t="s">
        <v>37</v>
      </c>
      <c r="S56" s="1" t="s">
        <v>71</v>
      </c>
      <c r="T56" s="1">
        <v>11.7942</v>
      </c>
      <c r="U56" s="1" t="s">
        <v>37</v>
      </c>
      <c r="V56" s="1" t="s">
        <v>71</v>
      </c>
      <c r="W56" s="1">
        <v>962.47090000000003</v>
      </c>
      <c r="X56" s="1" t="s">
        <v>37</v>
      </c>
      <c r="Y56" s="3" t="s">
        <v>69</v>
      </c>
      <c r="Z56" s="3">
        <v>201.03989999999999</v>
      </c>
      <c r="AA56" s="3" t="s">
        <v>37</v>
      </c>
      <c r="AB56" s="1" t="s">
        <v>71</v>
      </c>
      <c r="AC56" s="1">
        <v>62.260300000000001</v>
      </c>
      <c r="AD56" s="1" t="s">
        <v>37</v>
      </c>
    </row>
    <row r="57" spans="1:30" ht="13" x14ac:dyDescent="0.15">
      <c r="A57" s="1" t="s">
        <v>71</v>
      </c>
      <c r="B57" s="1">
        <v>26</v>
      </c>
      <c r="C57" s="1" t="s">
        <v>36</v>
      </c>
      <c r="D57" s="1" t="s">
        <v>71</v>
      </c>
      <c r="E57" s="1">
        <v>12</v>
      </c>
      <c r="F57" s="1" t="s">
        <v>36</v>
      </c>
      <c r="G57" s="1" t="s">
        <v>71</v>
      </c>
      <c r="H57" s="1">
        <v>691.28369999999995</v>
      </c>
      <c r="I57" s="1" t="s">
        <v>37</v>
      </c>
      <c r="J57" s="1" t="s">
        <v>71</v>
      </c>
      <c r="K57" s="1">
        <v>515.97209999999995</v>
      </c>
      <c r="L57" s="1" t="s">
        <v>37</v>
      </c>
      <c r="M57" s="1" t="s">
        <v>71</v>
      </c>
      <c r="N57" s="1">
        <v>393.03280000000001</v>
      </c>
      <c r="O57" s="1" t="s">
        <v>46</v>
      </c>
      <c r="P57" s="1" t="s">
        <v>71</v>
      </c>
      <c r="Q57" s="1">
        <v>451.7466</v>
      </c>
      <c r="R57" s="1" t="s">
        <v>37</v>
      </c>
      <c r="S57" s="1" t="s">
        <v>72</v>
      </c>
      <c r="T57" s="1">
        <v>8435.1898999999994</v>
      </c>
      <c r="U57" s="1" t="s">
        <v>46</v>
      </c>
      <c r="V57" s="1" t="s">
        <v>72</v>
      </c>
      <c r="W57" s="1">
        <v>688.34770000000003</v>
      </c>
      <c r="X57" s="1" t="s">
        <v>37</v>
      </c>
      <c r="Y57" s="3" t="s">
        <v>71</v>
      </c>
      <c r="Z57" s="3">
        <v>120.8776</v>
      </c>
      <c r="AA57" s="3" t="s">
        <v>37</v>
      </c>
      <c r="AB57" s="1" t="s">
        <v>72</v>
      </c>
      <c r="AC57" s="1">
        <v>44.527799999999999</v>
      </c>
      <c r="AD57" s="1" t="s">
        <v>37</v>
      </c>
    </row>
    <row r="58" spans="1:30" ht="13" x14ac:dyDescent="0.15">
      <c r="A58" s="1" t="s">
        <v>72</v>
      </c>
      <c r="B58" s="1">
        <v>19</v>
      </c>
      <c r="C58" s="1" t="s">
        <v>36</v>
      </c>
      <c r="D58" s="1" t="s">
        <v>72</v>
      </c>
      <c r="E58" s="1">
        <v>8361</v>
      </c>
      <c r="F58" s="1" t="s">
        <v>37</v>
      </c>
      <c r="G58" s="1" t="s">
        <v>72</v>
      </c>
      <c r="H58" s="1">
        <v>494.48649999999998</v>
      </c>
      <c r="I58" s="1" t="s">
        <v>37</v>
      </c>
      <c r="J58" s="1" t="s">
        <v>72</v>
      </c>
      <c r="K58" s="1">
        <v>369.0412</v>
      </c>
      <c r="L58" s="1" t="s">
        <v>37</v>
      </c>
      <c r="M58" s="1" t="s">
        <v>72</v>
      </c>
      <c r="N58" s="1">
        <v>282.29770000000002</v>
      </c>
      <c r="O58" s="1" t="s">
        <v>46</v>
      </c>
      <c r="P58" s="1" t="s">
        <v>72</v>
      </c>
      <c r="Q58" s="1">
        <v>323.13330000000002</v>
      </c>
      <c r="R58" s="1" t="s">
        <v>37</v>
      </c>
      <c r="S58" s="1" t="s">
        <v>68</v>
      </c>
      <c r="T58" s="1">
        <v>8087.7352000000001</v>
      </c>
      <c r="U58" s="1" t="s">
        <v>46</v>
      </c>
      <c r="V58" s="1" t="s">
        <v>73</v>
      </c>
      <c r="W58" s="1">
        <v>128.471</v>
      </c>
      <c r="X58" s="1" t="s">
        <v>37</v>
      </c>
      <c r="Y58" s="3" t="s">
        <v>72</v>
      </c>
      <c r="Z58" s="3">
        <v>86.912300000000002</v>
      </c>
      <c r="AA58" s="3" t="s">
        <v>37</v>
      </c>
      <c r="AB58" s="1" t="s">
        <v>73</v>
      </c>
      <c r="AC58" s="1">
        <v>8310.5355999999992</v>
      </c>
      <c r="AD58" s="1" t="s">
        <v>46</v>
      </c>
    </row>
    <row r="59" spans="1:30" ht="13" x14ac:dyDescent="0.15">
      <c r="A59" s="1" t="s">
        <v>73</v>
      </c>
      <c r="B59" s="1">
        <v>3537</v>
      </c>
      <c r="C59" s="1" t="s">
        <v>37</v>
      </c>
      <c r="D59" s="1" t="s">
        <v>73</v>
      </c>
      <c r="E59" s="1">
        <v>1560</v>
      </c>
      <c r="F59" s="1" t="s">
        <v>37</v>
      </c>
      <c r="G59" s="1" t="s">
        <v>73</v>
      </c>
      <c r="H59" s="1">
        <v>92.289400000000001</v>
      </c>
      <c r="I59" s="1" t="s">
        <v>37</v>
      </c>
      <c r="J59" s="1" t="s">
        <v>73</v>
      </c>
      <c r="K59" s="1">
        <v>68.8767</v>
      </c>
      <c r="L59" s="1" t="s">
        <v>37</v>
      </c>
      <c r="M59" s="1" t="s">
        <v>73</v>
      </c>
      <c r="N59" s="1">
        <v>52.687100000000001</v>
      </c>
      <c r="O59" s="1" t="s">
        <v>46</v>
      </c>
      <c r="P59" s="1" t="s">
        <v>73</v>
      </c>
      <c r="Q59" s="1">
        <v>60.308599999999998</v>
      </c>
      <c r="R59" s="1" t="s">
        <v>37</v>
      </c>
      <c r="S59" s="1" t="s">
        <v>73</v>
      </c>
      <c r="T59" s="1">
        <v>1574.317</v>
      </c>
      <c r="U59" s="1" t="s">
        <v>46</v>
      </c>
      <c r="V59" s="1" t="s">
        <v>68</v>
      </c>
      <c r="W59" s="1">
        <v>73.637799999999999</v>
      </c>
      <c r="X59" s="1" t="s">
        <v>37</v>
      </c>
      <c r="Y59" s="3" t="s">
        <v>73</v>
      </c>
      <c r="Z59" s="3">
        <v>16.221</v>
      </c>
      <c r="AA59" s="3" t="s">
        <v>37</v>
      </c>
      <c r="AB59" s="1" t="s">
        <v>68</v>
      </c>
      <c r="AC59" s="1">
        <v>4784.1926000000003</v>
      </c>
      <c r="AD59" s="1" t="s">
        <v>46</v>
      </c>
    </row>
    <row r="60" spans="1:30" ht="13" x14ac:dyDescent="0.15">
      <c r="A60" s="1" t="s">
        <v>43</v>
      </c>
      <c r="B60" s="1">
        <v>60793.987699999998</v>
      </c>
      <c r="C60" s="1" t="s">
        <v>39</v>
      </c>
      <c r="D60" s="1" t="s">
        <v>43</v>
      </c>
      <c r="E60" s="1">
        <v>35702.032099999997</v>
      </c>
      <c r="F60" s="1" t="s">
        <v>39</v>
      </c>
      <c r="G60" s="1" t="s">
        <v>43</v>
      </c>
      <c r="H60" s="1">
        <v>32954.751799999998</v>
      </c>
      <c r="I60" s="1" t="s">
        <v>39</v>
      </c>
      <c r="J60" s="1" t="s">
        <v>43</v>
      </c>
      <c r="K60" s="1">
        <v>3687.6131999999998</v>
      </c>
      <c r="L60" s="1" t="s">
        <v>39</v>
      </c>
      <c r="M60" s="1" t="s">
        <v>43</v>
      </c>
      <c r="N60" s="1">
        <v>109.8686</v>
      </c>
      <c r="O60" s="1" t="s">
        <v>39</v>
      </c>
      <c r="P60" s="1" t="s">
        <v>43</v>
      </c>
      <c r="Q60" s="1">
        <v>15194.565399999999</v>
      </c>
      <c r="R60" s="1" t="s">
        <v>39</v>
      </c>
      <c r="S60" s="1" t="s">
        <v>43</v>
      </c>
      <c r="T60" s="1">
        <v>414.80619999999999</v>
      </c>
      <c r="U60" s="1" t="s">
        <v>39</v>
      </c>
      <c r="V60" s="1" t="s">
        <v>43</v>
      </c>
      <c r="W60" s="1">
        <v>1930.2334000000001</v>
      </c>
      <c r="X60" s="1" t="s">
        <v>39</v>
      </c>
      <c r="Y60" s="3" t="s">
        <v>43</v>
      </c>
      <c r="Z60" s="3">
        <v>2921.3305</v>
      </c>
      <c r="AA60" s="3" t="s">
        <v>39</v>
      </c>
      <c r="AB60" s="1" t="s">
        <v>43</v>
      </c>
      <c r="AC60" s="1">
        <v>867.16570000000002</v>
      </c>
      <c r="AD60" s="1" t="s">
        <v>39</v>
      </c>
    </row>
    <row r="61" spans="1:30" ht="13" x14ac:dyDescent="0.15">
      <c r="A61" s="1" t="s">
        <v>74</v>
      </c>
      <c r="D61" s="1" t="s">
        <v>74</v>
      </c>
      <c r="G61" s="1" t="s">
        <v>74</v>
      </c>
      <c r="J61" s="1" t="s">
        <v>74</v>
      </c>
      <c r="M61" s="1" t="s">
        <v>74</v>
      </c>
      <c r="P61" s="1" t="s">
        <v>74</v>
      </c>
      <c r="S61" s="1" t="s">
        <v>74</v>
      </c>
      <c r="V61" s="1" t="s">
        <v>74</v>
      </c>
      <c r="Y61" s="3" t="s">
        <v>74</v>
      </c>
      <c r="Z61" s="3"/>
      <c r="AA61" s="3"/>
      <c r="AB61" s="1" t="s">
        <v>74</v>
      </c>
    </row>
    <row r="62" spans="1:30" ht="13" x14ac:dyDescent="0.15">
      <c r="A62" s="1" t="s">
        <v>11</v>
      </c>
      <c r="D62" s="1" t="s">
        <v>11</v>
      </c>
      <c r="G62" s="1" t="s">
        <v>11</v>
      </c>
      <c r="J62" s="1" t="s">
        <v>11</v>
      </c>
      <c r="M62" s="1" t="s">
        <v>11</v>
      </c>
      <c r="P62" s="1" t="s">
        <v>11</v>
      </c>
      <c r="S62" s="1" t="s">
        <v>11</v>
      </c>
      <c r="V62" s="1" t="s">
        <v>11</v>
      </c>
      <c r="Y62" s="3" t="s">
        <v>11</v>
      </c>
      <c r="Z62" s="3"/>
      <c r="AA62" s="3"/>
      <c r="AB62" s="1" t="s">
        <v>11</v>
      </c>
    </row>
    <row r="63" spans="1:30" ht="13" x14ac:dyDescent="0.15">
      <c r="A63" s="1" t="s">
        <v>10</v>
      </c>
      <c r="D63" s="1" t="s">
        <v>10</v>
      </c>
      <c r="G63" s="1" t="s">
        <v>10</v>
      </c>
      <c r="J63" s="1" t="s">
        <v>10</v>
      </c>
      <c r="M63" s="1" t="s">
        <v>10</v>
      </c>
      <c r="P63" s="1" t="s">
        <v>10</v>
      </c>
      <c r="S63" s="1" t="s">
        <v>10</v>
      </c>
      <c r="V63" s="1" t="s">
        <v>10</v>
      </c>
      <c r="Y63" s="3" t="s">
        <v>10</v>
      </c>
      <c r="Z63" s="3"/>
      <c r="AA63" s="3"/>
      <c r="AB63" s="1" t="s">
        <v>10</v>
      </c>
    </row>
    <row r="64" spans="1:30" ht="13" x14ac:dyDescent="0.15">
      <c r="A64" s="1" t="s">
        <v>12</v>
      </c>
      <c r="B64" s="1">
        <v>3.7543000000000002</v>
      </c>
      <c r="C64" s="1" t="s">
        <v>13</v>
      </c>
      <c r="D64" s="1" t="s">
        <v>12</v>
      </c>
      <c r="E64" s="1">
        <v>2.0931999999999999</v>
      </c>
      <c r="F64" s="1" t="s">
        <v>13</v>
      </c>
      <c r="G64" s="1" t="s">
        <v>12</v>
      </c>
      <c r="H64" s="1">
        <v>0.13400000000000001</v>
      </c>
      <c r="I64" s="1" t="s">
        <v>13</v>
      </c>
      <c r="J64" s="1" t="s">
        <v>12</v>
      </c>
      <c r="K64" s="1">
        <v>74.834100000000007</v>
      </c>
      <c r="L64" s="1" t="s">
        <v>14</v>
      </c>
      <c r="M64" s="1" t="s">
        <v>12</v>
      </c>
      <c r="N64" s="1">
        <v>0.4612</v>
      </c>
      <c r="O64" s="1" t="s">
        <v>14</v>
      </c>
      <c r="P64" s="1" t="s">
        <v>12</v>
      </c>
      <c r="Q64" s="1">
        <v>92.834599999999995</v>
      </c>
      <c r="R64" s="1" t="s">
        <v>14</v>
      </c>
      <c r="S64" s="1" t="s">
        <v>12</v>
      </c>
      <c r="T64" s="1">
        <v>9.2100000000000009</v>
      </c>
      <c r="U64" s="1" t="s">
        <v>14</v>
      </c>
      <c r="V64" s="1" t="s">
        <v>12</v>
      </c>
      <c r="W64" s="1">
        <v>0.121</v>
      </c>
      <c r="X64" s="1" t="s">
        <v>13</v>
      </c>
      <c r="Y64" s="3" t="s">
        <v>12</v>
      </c>
      <c r="Z64" s="3">
        <v>0.17119999999999999</v>
      </c>
      <c r="AA64" s="3" t="s">
        <v>13</v>
      </c>
      <c r="AB64" s="1" t="s">
        <v>12</v>
      </c>
      <c r="AC64" s="1">
        <v>7.8464999999999998</v>
      </c>
      <c r="AD64" s="1" t="s">
        <v>14</v>
      </c>
    </row>
    <row r="65" spans="1:30" ht="13" x14ac:dyDescent="0.15">
      <c r="A65" s="1" t="s">
        <v>15</v>
      </c>
      <c r="B65" s="1">
        <v>3.7585000000000002</v>
      </c>
      <c r="C65" s="1" t="s">
        <v>13</v>
      </c>
      <c r="D65" s="1" t="s">
        <v>15</v>
      </c>
      <c r="E65" s="1">
        <v>2.0951</v>
      </c>
      <c r="F65" s="1" t="s">
        <v>13</v>
      </c>
      <c r="G65" s="1" t="s">
        <v>15</v>
      </c>
      <c r="H65" s="1">
        <v>0.1341</v>
      </c>
      <c r="I65" s="1" t="s">
        <v>13</v>
      </c>
      <c r="J65" s="1" t="s">
        <v>15</v>
      </c>
      <c r="K65" s="1">
        <v>74.916300000000007</v>
      </c>
      <c r="L65" s="1" t="s">
        <v>14</v>
      </c>
      <c r="M65" s="1" t="s">
        <v>15</v>
      </c>
      <c r="N65" s="1">
        <v>0.46129999999999999</v>
      </c>
      <c r="O65" s="1" t="s">
        <v>14</v>
      </c>
      <c r="P65" s="1" t="s">
        <v>15</v>
      </c>
      <c r="Q65" s="1">
        <v>92.906499999999994</v>
      </c>
      <c r="R65" s="1" t="s">
        <v>14</v>
      </c>
      <c r="S65" s="1" t="s">
        <v>15</v>
      </c>
      <c r="T65" s="1">
        <v>9.2119</v>
      </c>
      <c r="U65" s="1" t="s">
        <v>14</v>
      </c>
      <c r="V65" s="1" t="s">
        <v>15</v>
      </c>
      <c r="W65" s="1">
        <v>0.1211</v>
      </c>
      <c r="X65" s="1" t="s">
        <v>13</v>
      </c>
      <c r="Y65" s="3" t="s">
        <v>15</v>
      </c>
      <c r="Z65" s="3">
        <v>0.17119999999999999</v>
      </c>
      <c r="AA65" s="3" t="s">
        <v>13</v>
      </c>
      <c r="AB65" s="1" t="s">
        <v>15</v>
      </c>
      <c r="AC65" s="1">
        <v>7.8563999999999998</v>
      </c>
      <c r="AD65" s="1" t="s">
        <v>14</v>
      </c>
    </row>
    <row r="66" spans="1:30" ht="13" x14ac:dyDescent="0.15">
      <c r="A66" s="1" t="s">
        <v>16</v>
      </c>
      <c r="B66" s="1">
        <v>-4.1999999999999997E-3</v>
      </c>
      <c r="C66" s="1" t="s">
        <v>13</v>
      </c>
      <c r="D66" s="1" t="s">
        <v>16</v>
      </c>
      <c r="E66" s="2">
        <v>-1.9E-3</v>
      </c>
      <c r="F66" s="1" t="s">
        <v>13</v>
      </c>
      <c r="G66" s="1" t="s">
        <v>16</v>
      </c>
      <c r="H66" s="2">
        <v>-1.1005000000000001E-4</v>
      </c>
      <c r="I66" s="1" t="s">
        <v>13</v>
      </c>
      <c r="J66" s="1" t="s">
        <v>16</v>
      </c>
      <c r="K66" s="2">
        <v>-8.2131000000000004E-5</v>
      </c>
      <c r="L66" s="1" t="s">
        <v>13</v>
      </c>
      <c r="M66" s="1" t="s">
        <v>16</v>
      </c>
      <c r="N66" s="2">
        <v>-6.2825999999999996E-8</v>
      </c>
      <c r="O66" s="1" t="s">
        <v>13</v>
      </c>
      <c r="P66" s="1" t="s">
        <v>16</v>
      </c>
      <c r="Q66" s="2">
        <v>-7.1914000000000003E-5</v>
      </c>
      <c r="R66" s="1" t="s">
        <v>13</v>
      </c>
      <c r="S66" s="1" t="s">
        <v>16</v>
      </c>
      <c r="T66" s="2">
        <v>-1.8773E-6</v>
      </c>
      <c r="U66" s="1" t="s">
        <v>13</v>
      </c>
      <c r="V66" s="1" t="s">
        <v>16</v>
      </c>
      <c r="W66" s="2">
        <v>-1.5318999999999999E-4</v>
      </c>
      <c r="X66" s="1" t="s">
        <v>13</v>
      </c>
      <c r="Y66" s="3" t="s">
        <v>16</v>
      </c>
      <c r="Z66" s="27">
        <v>-1.9300000000000002E-5</v>
      </c>
      <c r="AA66" s="3" t="s">
        <v>13</v>
      </c>
      <c r="AB66" s="1" t="s">
        <v>16</v>
      </c>
      <c r="AC66" s="2">
        <v>-9.9097999999999995E-6</v>
      </c>
      <c r="AD66" s="1" t="s">
        <v>13</v>
      </c>
    </row>
    <row r="67" spans="1:30" ht="13" x14ac:dyDescent="0.15">
      <c r="A67" s="1" t="s">
        <v>17</v>
      </c>
      <c r="B67" s="1">
        <v>0.96319999999999995</v>
      </c>
      <c r="C67" s="1" t="s">
        <v>14</v>
      </c>
      <c r="D67" s="1" t="s">
        <v>17</v>
      </c>
      <c r="E67" s="1">
        <v>0.4415</v>
      </c>
      <c r="F67" s="1" t="s">
        <v>14</v>
      </c>
      <c r="G67" s="1" t="s">
        <v>17</v>
      </c>
      <c r="H67" s="1">
        <v>40.489100000000001</v>
      </c>
      <c r="I67" s="1" t="s">
        <v>18</v>
      </c>
      <c r="J67" s="1" t="s">
        <v>17</v>
      </c>
      <c r="K67" s="1">
        <v>8.1006</v>
      </c>
      <c r="L67" s="1" t="s">
        <v>18</v>
      </c>
      <c r="M67" s="1" t="s">
        <v>17</v>
      </c>
      <c r="N67" s="1">
        <v>0.2792</v>
      </c>
      <c r="O67" s="1" t="s">
        <v>18</v>
      </c>
      <c r="P67" s="1" t="s">
        <v>17</v>
      </c>
      <c r="Q67" s="1">
        <v>43.741100000000003</v>
      </c>
      <c r="R67" s="1" t="s">
        <v>18</v>
      </c>
      <c r="S67" s="1" t="s">
        <v>17</v>
      </c>
      <c r="T67" s="1">
        <v>20.503499999999999</v>
      </c>
      <c r="U67" s="1" t="s">
        <v>18</v>
      </c>
      <c r="V67" s="1" t="s">
        <v>17</v>
      </c>
      <c r="W67" s="1">
        <v>3.6052</v>
      </c>
      <c r="X67" s="1" t="s">
        <v>18</v>
      </c>
      <c r="Y67" s="3" t="s">
        <v>17</v>
      </c>
      <c r="Z67" s="3">
        <v>93.902299999999997</v>
      </c>
      <c r="AA67" s="3" t="s">
        <v>18</v>
      </c>
      <c r="AB67" s="1" t="s">
        <v>17</v>
      </c>
      <c r="AC67" s="1">
        <v>0.29220000000000002</v>
      </c>
      <c r="AD67" s="1" t="s">
        <v>18</v>
      </c>
    </row>
    <row r="68" spans="1:30" ht="13" x14ac:dyDescent="0.15">
      <c r="A68" s="1" t="s">
        <v>19</v>
      </c>
      <c r="B68" s="1">
        <v>1.3969</v>
      </c>
      <c r="C68" s="1" t="s">
        <v>14</v>
      </c>
      <c r="D68" s="1" t="s">
        <v>19</v>
      </c>
      <c r="E68" s="1">
        <v>0.7853</v>
      </c>
      <c r="F68" s="1" t="s">
        <v>14</v>
      </c>
      <c r="G68" s="1" t="s">
        <v>19</v>
      </c>
      <c r="H68" s="1">
        <v>0.10100000000000001</v>
      </c>
      <c r="I68" s="1" t="s">
        <v>14</v>
      </c>
      <c r="J68" s="1" t="s">
        <v>19</v>
      </c>
      <c r="K68" s="1">
        <v>26.3386</v>
      </c>
      <c r="L68" s="1" t="s">
        <v>18</v>
      </c>
      <c r="M68" s="1" t="s">
        <v>19</v>
      </c>
      <c r="N68" s="1">
        <v>0.16309999999999999</v>
      </c>
      <c r="O68" s="1" t="s">
        <v>18</v>
      </c>
      <c r="P68" s="1" t="s">
        <v>19</v>
      </c>
      <c r="Q68" s="1">
        <v>0.155</v>
      </c>
      <c r="R68" s="1" t="s">
        <v>14</v>
      </c>
      <c r="S68" s="1" t="s">
        <v>19</v>
      </c>
      <c r="T68" s="1">
        <v>94.134100000000004</v>
      </c>
      <c r="U68" s="1" t="s">
        <v>18</v>
      </c>
      <c r="V68" s="1" t="s">
        <v>19</v>
      </c>
      <c r="W68" s="1">
        <v>34.308100000000003</v>
      </c>
      <c r="X68" s="1" t="s">
        <v>18</v>
      </c>
      <c r="Y68" s="3" t="s">
        <v>19</v>
      </c>
      <c r="Z68" s="3">
        <v>60.773400000000002</v>
      </c>
      <c r="AA68" s="3" t="s">
        <v>18</v>
      </c>
      <c r="AB68" s="1" t="s">
        <v>19</v>
      </c>
      <c r="AC68" s="1">
        <v>2.4893999999999998</v>
      </c>
      <c r="AD68" s="1" t="s">
        <v>18</v>
      </c>
    </row>
    <row r="69" spans="1:30" ht="13" x14ac:dyDescent="0.15">
      <c r="A69" s="1" t="s">
        <v>20</v>
      </c>
      <c r="B69" s="1">
        <v>2.4765000000000001</v>
      </c>
      <c r="C69" s="1" t="s">
        <v>14</v>
      </c>
      <c r="D69" s="1" t="s">
        <v>20</v>
      </c>
      <c r="E69" s="1">
        <v>1.3691</v>
      </c>
      <c r="F69" s="1" t="s">
        <v>14</v>
      </c>
      <c r="G69" s="1" t="s">
        <v>20</v>
      </c>
      <c r="H69" s="1">
        <v>0.4945</v>
      </c>
      <c r="I69" s="1" t="s">
        <v>14</v>
      </c>
      <c r="J69" s="1" t="s">
        <v>20</v>
      </c>
      <c r="K69" s="1">
        <v>57.493400000000001</v>
      </c>
      <c r="L69" s="1" t="s">
        <v>18</v>
      </c>
      <c r="M69" s="1" t="s">
        <v>20</v>
      </c>
      <c r="N69" s="1">
        <v>0.25509999999999999</v>
      </c>
      <c r="O69" s="1" t="s">
        <v>18</v>
      </c>
      <c r="P69" s="1" t="s">
        <v>20</v>
      </c>
      <c r="Q69" s="1">
        <v>0.39460000000000001</v>
      </c>
      <c r="R69" s="1" t="s">
        <v>14</v>
      </c>
      <c r="S69" s="1" t="s">
        <v>20</v>
      </c>
      <c r="T69" s="1">
        <v>0.1108</v>
      </c>
      <c r="U69" s="1" t="s">
        <v>14</v>
      </c>
      <c r="V69" s="1" t="s">
        <v>20</v>
      </c>
      <c r="W69" s="1">
        <v>67.436000000000007</v>
      </c>
      <c r="X69" s="1" t="s">
        <v>18</v>
      </c>
      <c r="Y69" s="3" t="s">
        <v>20</v>
      </c>
      <c r="Z69" s="3">
        <v>94.305599999999998</v>
      </c>
      <c r="AA69" s="3" t="s">
        <v>18</v>
      </c>
      <c r="AB69" s="1" t="s">
        <v>20</v>
      </c>
      <c r="AC69" s="1">
        <v>4.6792999999999996</v>
      </c>
      <c r="AD69" s="1" t="s">
        <v>18</v>
      </c>
    </row>
    <row r="70" spans="1:30" ht="13" x14ac:dyDescent="0.15">
      <c r="A70" s="1" t="s">
        <v>21</v>
      </c>
      <c r="B70" s="1">
        <v>0.26269999999999999</v>
      </c>
      <c r="C70" s="1" t="s">
        <v>14</v>
      </c>
      <c r="D70" s="1" t="s">
        <v>21</v>
      </c>
      <c r="E70" s="1">
        <v>0.1585</v>
      </c>
      <c r="F70" s="1" t="s">
        <v>14</v>
      </c>
      <c r="G70" s="1" t="s">
        <v>21</v>
      </c>
      <c r="H70" s="1">
        <v>41.449300000000001</v>
      </c>
      <c r="I70" s="1" t="s">
        <v>18</v>
      </c>
      <c r="J70" s="1" t="s">
        <v>21</v>
      </c>
      <c r="K70" s="1">
        <v>5.8109999999999999</v>
      </c>
      <c r="L70" s="1" t="s">
        <v>18</v>
      </c>
      <c r="M70" s="1" t="s">
        <v>21</v>
      </c>
      <c r="N70" s="1">
        <v>44.496299999999998</v>
      </c>
      <c r="O70" s="1" t="s">
        <v>27</v>
      </c>
      <c r="P70" s="1" t="s">
        <v>21</v>
      </c>
      <c r="Q70" s="1">
        <v>24.1999</v>
      </c>
      <c r="R70" s="1" t="s">
        <v>18</v>
      </c>
      <c r="S70" s="1" t="s">
        <v>21</v>
      </c>
      <c r="T70" s="1">
        <v>0.3916</v>
      </c>
      <c r="U70" s="1" t="s">
        <v>18</v>
      </c>
      <c r="V70" s="1" t="s">
        <v>21</v>
      </c>
      <c r="W70" s="1">
        <v>7.7194000000000003</v>
      </c>
      <c r="X70" s="1" t="s">
        <v>18</v>
      </c>
      <c r="Y70" s="3" t="s">
        <v>21</v>
      </c>
      <c r="Z70" s="3">
        <v>16.462</v>
      </c>
      <c r="AA70" s="3" t="s">
        <v>18</v>
      </c>
      <c r="AB70" s="1" t="s">
        <v>21</v>
      </c>
      <c r="AC70" s="1">
        <v>0.50019999999999998</v>
      </c>
      <c r="AD70" s="1" t="s">
        <v>18</v>
      </c>
    </row>
    <row r="71" spans="1:30" ht="13" x14ac:dyDescent="0.15">
      <c r="A71" s="1" t="s">
        <v>22</v>
      </c>
      <c r="B71" s="1">
        <v>0.22589999999999999</v>
      </c>
      <c r="C71" s="1" t="s">
        <v>14</v>
      </c>
      <c r="D71" s="1" t="s">
        <v>22</v>
      </c>
      <c r="E71" s="1">
        <v>0.1361</v>
      </c>
      <c r="F71" s="1" t="s">
        <v>14</v>
      </c>
      <c r="G71" s="1" t="s">
        <v>22</v>
      </c>
      <c r="H71" s="1">
        <v>37.610199999999999</v>
      </c>
      <c r="I71" s="1" t="s">
        <v>18</v>
      </c>
      <c r="J71" s="1" t="s">
        <v>22</v>
      </c>
      <c r="K71" s="1">
        <v>4.9870000000000001</v>
      </c>
      <c r="L71" s="1" t="s">
        <v>18</v>
      </c>
      <c r="M71" s="1" t="s">
        <v>22</v>
      </c>
      <c r="N71" s="1">
        <v>38.305500000000002</v>
      </c>
      <c r="O71" s="1" t="s">
        <v>27</v>
      </c>
      <c r="P71" s="1" t="s">
        <v>22</v>
      </c>
      <c r="Q71" s="1">
        <v>21.810300000000002</v>
      </c>
      <c r="R71" s="1" t="s">
        <v>18</v>
      </c>
      <c r="S71" s="1" t="s">
        <v>22</v>
      </c>
      <c r="T71" s="1">
        <v>0.37630000000000002</v>
      </c>
      <c r="U71" s="1" t="s">
        <v>18</v>
      </c>
      <c r="V71" s="1" t="s">
        <v>22</v>
      </c>
      <c r="W71" s="1">
        <v>6.6075999999999997</v>
      </c>
      <c r="X71" s="1" t="s">
        <v>18</v>
      </c>
      <c r="Y71" s="3" t="s">
        <v>22</v>
      </c>
      <c r="Z71" s="3">
        <v>14.1572</v>
      </c>
      <c r="AA71" s="3" t="s">
        <v>18</v>
      </c>
      <c r="AB71" s="1" t="s">
        <v>22</v>
      </c>
      <c r="AC71" s="1">
        <v>0.42830000000000001</v>
      </c>
      <c r="AD71" s="1" t="s">
        <v>18</v>
      </c>
    </row>
    <row r="72" spans="1:30" ht="13" x14ac:dyDescent="0.15">
      <c r="A72" s="1" t="s">
        <v>23</v>
      </c>
      <c r="B72" s="1">
        <v>1.6990000000000001</v>
      </c>
      <c r="C72" s="1" t="s">
        <v>14</v>
      </c>
      <c r="D72" s="1" t="s">
        <v>23</v>
      </c>
      <c r="E72" s="1">
        <v>0.82599999999999996</v>
      </c>
      <c r="F72" s="1" t="s">
        <v>14</v>
      </c>
      <c r="G72" s="1" t="s">
        <v>23</v>
      </c>
      <c r="H72" s="1">
        <v>0.30599999999999999</v>
      </c>
      <c r="I72" s="1" t="s">
        <v>14</v>
      </c>
      <c r="J72" s="1" t="s">
        <v>23</v>
      </c>
      <c r="K72" s="1">
        <v>38.280200000000001</v>
      </c>
      <c r="L72" s="1" t="s">
        <v>18</v>
      </c>
      <c r="M72" s="1" t="s">
        <v>23</v>
      </c>
      <c r="N72" s="1">
        <v>84.798199999999994</v>
      </c>
      <c r="O72" s="1" t="s">
        <v>27</v>
      </c>
      <c r="P72" s="1" t="s">
        <v>23</v>
      </c>
      <c r="Q72" s="1">
        <v>0.17519999999999999</v>
      </c>
      <c r="R72" s="1" t="s">
        <v>14</v>
      </c>
      <c r="S72" s="1" t="s">
        <v>23</v>
      </c>
      <c r="T72" s="1">
        <v>0.71919999999999995</v>
      </c>
      <c r="U72" s="1" t="s">
        <v>18</v>
      </c>
      <c r="V72" s="1" t="s">
        <v>23</v>
      </c>
      <c r="W72" s="1">
        <v>58.332999999999998</v>
      </c>
      <c r="X72" s="1" t="s">
        <v>18</v>
      </c>
      <c r="Y72" s="3" t="s">
        <v>23</v>
      </c>
      <c r="Z72" s="3">
        <v>30.1936</v>
      </c>
      <c r="AA72" s="3" t="s">
        <v>18</v>
      </c>
      <c r="AB72" s="1" t="s">
        <v>23</v>
      </c>
      <c r="AC72" s="1">
        <v>3.7734999999999999</v>
      </c>
      <c r="AD72" s="1" t="s">
        <v>18</v>
      </c>
    </row>
    <row r="73" spans="1:30" ht="13" x14ac:dyDescent="0.15">
      <c r="A73" s="1" t="s">
        <v>24</v>
      </c>
      <c r="B73" s="1">
        <v>1.4781</v>
      </c>
      <c r="C73" s="1" t="s">
        <v>14</v>
      </c>
      <c r="D73" s="1" t="s">
        <v>24</v>
      </c>
      <c r="E73" s="1">
        <v>0.91410000000000002</v>
      </c>
      <c r="F73" s="1" t="s">
        <v>14</v>
      </c>
      <c r="G73" s="1" t="s">
        <v>24</v>
      </c>
      <c r="H73" s="1">
        <v>96.029499999999999</v>
      </c>
      <c r="I73" s="1" t="s">
        <v>18</v>
      </c>
      <c r="J73" s="1" t="s">
        <v>24</v>
      </c>
      <c r="K73" s="1">
        <v>24.638000000000002</v>
      </c>
      <c r="L73" s="1" t="s">
        <v>18</v>
      </c>
      <c r="M73" s="1" t="s">
        <v>24</v>
      </c>
      <c r="N73" s="1">
        <v>0.21990000000000001</v>
      </c>
      <c r="O73" s="1" t="s">
        <v>18</v>
      </c>
      <c r="P73" s="1" t="s">
        <v>24</v>
      </c>
      <c r="Q73" s="1">
        <v>0.25009999999999999</v>
      </c>
      <c r="R73" s="1" t="s">
        <v>14</v>
      </c>
      <c r="S73" s="1" t="s">
        <v>24</v>
      </c>
      <c r="T73" s="1">
        <v>0.19209999999999999</v>
      </c>
      <c r="U73" s="1" t="s">
        <v>14</v>
      </c>
      <c r="V73" s="1" t="s">
        <v>24</v>
      </c>
      <c r="W73" s="1">
        <v>25.5212</v>
      </c>
      <c r="X73" s="1" t="s">
        <v>18</v>
      </c>
      <c r="Y73" s="3" t="s">
        <v>24</v>
      </c>
      <c r="Z73" s="3">
        <v>83.462199999999996</v>
      </c>
      <c r="AA73" s="3" t="s">
        <v>18</v>
      </c>
      <c r="AB73" s="1" t="s">
        <v>24</v>
      </c>
      <c r="AC73" s="1">
        <v>2.2035</v>
      </c>
      <c r="AD73" s="1" t="s">
        <v>18</v>
      </c>
    </row>
    <row r="74" spans="1:30" ht="13" x14ac:dyDescent="0.15">
      <c r="A74" s="1" t="s">
        <v>25</v>
      </c>
      <c r="B74" s="1">
        <v>77.707700000000003</v>
      </c>
      <c r="C74" s="1" t="s">
        <v>18</v>
      </c>
      <c r="D74" s="1" t="s">
        <v>25</v>
      </c>
      <c r="E74" s="1">
        <v>40.576099999999997</v>
      </c>
      <c r="F74" s="1" t="s">
        <v>18</v>
      </c>
      <c r="G74" s="1" t="s">
        <v>25</v>
      </c>
      <c r="H74" s="1">
        <v>4.1548999999999996</v>
      </c>
      <c r="I74" s="1" t="s">
        <v>18</v>
      </c>
      <c r="J74" s="1" t="s">
        <v>25</v>
      </c>
      <c r="K74" s="1">
        <v>1.4877</v>
      </c>
      <c r="L74" s="1" t="s">
        <v>18</v>
      </c>
      <c r="M74" s="1" t="s">
        <v>25</v>
      </c>
      <c r="N74" s="1">
        <v>6.02</v>
      </c>
      <c r="O74" s="1" t="s">
        <v>27</v>
      </c>
      <c r="P74" s="1" t="s">
        <v>25</v>
      </c>
      <c r="Q74" s="1">
        <v>8.4382999999999999</v>
      </c>
      <c r="R74" s="1" t="s">
        <v>18</v>
      </c>
      <c r="S74" s="1" t="s">
        <v>25</v>
      </c>
      <c r="T74" s="1">
        <v>5.6642000000000001</v>
      </c>
      <c r="U74" s="1" t="s">
        <v>18</v>
      </c>
      <c r="V74" s="1" t="s">
        <v>25</v>
      </c>
      <c r="W74" s="1">
        <v>1.9686999999999999</v>
      </c>
      <c r="X74" s="1" t="s">
        <v>18</v>
      </c>
      <c r="Y74" s="3" t="s">
        <v>25</v>
      </c>
      <c r="Z74" s="3">
        <v>2.2315999999999998</v>
      </c>
      <c r="AA74" s="3" t="s">
        <v>18</v>
      </c>
      <c r="AB74" s="1" t="s">
        <v>25</v>
      </c>
      <c r="AC74" s="1">
        <v>0.14360000000000001</v>
      </c>
      <c r="AD74" s="1" t="s">
        <v>18</v>
      </c>
    </row>
    <row r="75" spans="1:30" ht="13" x14ac:dyDescent="0.15">
      <c r="A75" s="1" t="s">
        <v>26</v>
      </c>
      <c r="B75" s="1">
        <v>13.933</v>
      </c>
      <c r="C75" s="1" t="s">
        <v>18</v>
      </c>
      <c r="D75" s="1" t="s">
        <v>26</v>
      </c>
      <c r="E75" s="1">
        <v>11.279500000000001</v>
      </c>
      <c r="F75" s="1" t="s">
        <v>18</v>
      </c>
      <c r="G75" s="1" t="s">
        <v>26</v>
      </c>
      <c r="H75" s="1">
        <v>5.0674999999999999</v>
      </c>
      <c r="I75" s="1" t="s">
        <v>18</v>
      </c>
      <c r="J75" s="1" t="s">
        <v>26</v>
      </c>
      <c r="K75" s="1">
        <v>0.36699999999999999</v>
      </c>
      <c r="L75" s="1" t="s">
        <v>18</v>
      </c>
      <c r="M75" s="1" t="s">
        <v>26</v>
      </c>
      <c r="N75" s="1">
        <v>4.7995999999999999</v>
      </c>
      <c r="O75" s="1" t="s">
        <v>27</v>
      </c>
      <c r="P75" s="1" t="s">
        <v>26</v>
      </c>
      <c r="Q75" s="1">
        <v>2.9167000000000001</v>
      </c>
      <c r="R75" s="1" t="s">
        <v>18</v>
      </c>
      <c r="S75" s="1" t="s">
        <v>26</v>
      </c>
      <c r="T75" s="1">
        <v>63.921100000000003</v>
      </c>
      <c r="U75" s="1" t="s">
        <v>27</v>
      </c>
      <c r="V75" s="1" t="s">
        <v>26</v>
      </c>
      <c r="W75" s="1">
        <v>0.313</v>
      </c>
      <c r="X75" s="1" t="s">
        <v>18</v>
      </c>
      <c r="Y75" s="3" t="s">
        <v>26</v>
      </c>
      <c r="Z75" s="3">
        <v>1.8045</v>
      </c>
      <c r="AA75" s="3" t="s">
        <v>18</v>
      </c>
      <c r="AB75" s="1" t="s">
        <v>26</v>
      </c>
      <c r="AC75" s="1">
        <v>20.419599999999999</v>
      </c>
      <c r="AD75" s="1" t="s">
        <v>27</v>
      </c>
    </row>
    <row r="76" spans="1:30" ht="13" x14ac:dyDescent="0.15">
      <c r="A76" s="1" t="s">
        <v>28</v>
      </c>
      <c r="B76" s="1">
        <v>68.015600000000006</v>
      </c>
      <c r="C76" s="1" t="s">
        <v>18</v>
      </c>
      <c r="D76" s="1" t="s">
        <v>28</v>
      </c>
      <c r="E76" s="1">
        <v>36.962499999999999</v>
      </c>
      <c r="F76" s="1" t="s">
        <v>18</v>
      </c>
      <c r="G76" s="1" t="s">
        <v>28</v>
      </c>
      <c r="H76" s="1">
        <v>14.0374</v>
      </c>
      <c r="I76" s="1" t="s">
        <v>18</v>
      </c>
      <c r="J76" s="1" t="s">
        <v>28</v>
      </c>
      <c r="K76" s="1">
        <v>1.6147</v>
      </c>
      <c r="L76" s="1" t="s">
        <v>18</v>
      </c>
      <c r="M76" s="1" t="s">
        <v>28</v>
      </c>
      <c r="N76" s="1">
        <v>6.8346</v>
      </c>
      <c r="O76" s="1" t="s">
        <v>27</v>
      </c>
      <c r="P76" s="1" t="s">
        <v>28</v>
      </c>
      <c r="Q76" s="1">
        <v>8.1271000000000004</v>
      </c>
      <c r="R76" s="1" t="s">
        <v>18</v>
      </c>
      <c r="S76" s="1" t="s">
        <v>28</v>
      </c>
      <c r="T76" s="1">
        <v>0.15210000000000001</v>
      </c>
      <c r="U76" s="1" t="s">
        <v>18</v>
      </c>
      <c r="V76" s="1" t="s">
        <v>28</v>
      </c>
      <c r="W76" s="1">
        <v>2.1976</v>
      </c>
      <c r="X76" s="1" t="s">
        <v>18</v>
      </c>
      <c r="Y76" s="3" t="s">
        <v>28</v>
      </c>
      <c r="Z76" s="3">
        <v>2.5154999999999998</v>
      </c>
      <c r="AA76" s="3" t="s">
        <v>18</v>
      </c>
      <c r="AB76" s="1" t="s">
        <v>28</v>
      </c>
      <c r="AC76" s="1">
        <v>0.14249999999999999</v>
      </c>
      <c r="AD76" s="1" t="s">
        <v>18</v>
      </c>
    </row>
    <row r="77" spans="1:30" ht="13" x14ac:dyDescent="0.15">
      <c r="A77" s="1" t="s">
        <v>29</v>
      </c>
      <c r="D77" s="1" t="s">
        <v>29</v>
      </c>
      <c r="G77" s="1" t="s">
        <v>29</v>
      </c>
      <c r="J77" s="1" t="s">
        <v>29</v>
      </c>
      <c r="M77" s="1" t="s">
        <v>29</v>
      </c>
      <c r="P77" s="1" t="s">
        <v>29</v>
      </c>
      <c r="S77" s="1" t="s">
        <v>29</v>
      </c>
      <c r="V77" s="1" t="s">
        <v>29</v>
      </c>
      <c r="Y77" s="3" t="s">
        <v>29</v>
      </c>
      <c r="Z77" s="3"/>
      <c r="AA77" s="3"/>
      <c r="AB77" s="1" t="s">
        <v>29</v>
      </c>
    </row>
    <row r="78" spans="1:30" ht="13" x14ac:dyDescent="0.15">
      <c r="A78" s="1" t="s">
        <v>30</v>
      </c>
      <c r="B78" s="1">
        <v>3.8247</v>
      </c>
      <c r="C78" s="1" t="s">
        <v>13</v>
      </c>
      <c r="D78" s="1" t="s">
        <v>30</v>
      </c>
      <c r="E78" s="1">
        <v>2.1341999999999999</v>
      </c>
      <c r="F78" s="1" t="s">
        <v>13</v>
      </c>
      <c r="G78" s="1" t="s">
        <v>30</v>
      </c>
      <c r="H78" s="1">
        <v>0.13830000000000001</v>
      </c>
      <c r="I78" s="1" t="s">
        <v>13</v>
      </c>
      <c r="J78" s="1" t="s">
        <v>30</v>
      </c>
      <c r="K78" s="1">
        <v>76.0411</v>
      </c>
      <c r="L78" s="1" t="s">
        <v>14</v>
      </c>
      <c r="M78" s="1" t="s">
        <v>30</v>
      </c>
      <c r="N78" s="1">
        <v>0.47049999999999997</v>
      </c>
      <c r="O78" s="1" t="s">
        <v>14</v>
      </c>
      <c r="P78" s="1" t="s">
        <v>30</v>
      </c>
      <c r="Q78" s="1">
        <v>0.10299999999999999</v>
      </c>
      <c r="R78" s="1" t="s">
        <v>13</v>
      </c>
      <c r="S78" s="1" t="s">
        <v>30</v>
      </c>
      <c r="T78" s="1">
        <v>16.691800000000001</v>
      </c>
      <c r="U78" s="1" t="s">
        <v>14</v>
      </c>
      <c r="V78" s="1" t="s">
        <v>30</v>
      </c>
      <c r="W78" s="1">
        <v>0.12230000000000001</v>
      </c>
      <c r="X78" s="1" t="s">
        <v>13</v>
      </c>
      <c r="Y78" s="3" t="s">
        <v>30</v>
      </c>
      <c r="Z78" s="3">
        <v>0.17460000000000001</v>
      </c>
      <c r="AA78" s="3" t="s">
        <v>13</v>
      </c>
      <c r="AB78" s="1" t="s">
        <v>30</v>
      </c>
      <c r="AC78" s="1">
        <v>7.9561999999999999</v>
      </c>
      <c r="AD78" s="1" t="s">
        <v>14</v>
      </c>
    </row>
    <row r="79" spans="1:30" ht="13" x14ac:dyDescent="0.15">
      <c r="A79" s="1" t="s">
        <v>31</v>
      </c>
      <c r="B79" s="1">
        <v>3.9026000000000001</v>
      </c>
      <c r="C79" s="1" t="s">
        <v>13</v>
      </c>
      <c r="D79" s="1" t="s">
        <v>31</v>
      </c>
      <c r="E79" s="1">
        <v>2.1823000000000001</v>
      </c>
      <c r="F79" s="1" t="s">
        <v>13</v>
      </c>
      <c r="G79" s="1" t="s">
        <v>31</v>
      </c>
      <c r="H79" s="1">
        <v>0.14330000000000001</v>
      </c>
      <c r="I79" s="1" t="s">
        <v>13</v>
      </c>
      <c r="J79" s="1" t="s">
        <v>31</v>
      </c>
      <c r="K79" s="1">
        <v>77.339500000000001</v>
      </c>
      <c r="L79" s="1" t="s">
        <v>14</v>
      </c>
      <c r="M79" s="1" t="s">
        <v>31</v>
      </c>
      <c r="N79" s="1">
        <v>0.48209999999999997</v>
      </c>
      <c r="O79" s="1" t="s">
        <v>14</v>
      </c>
      <c r="P79" s="1" t="s">
        <v>31</v>
      </c>
      <c r="Q79" s="1">
        <v>0.1162</v>
      </c>
      <c r="R79" s="1" t="s">
        <v>13</v>
      </c>
      <c r="S79" s="1" t="s">
        <v>31</v>
      </c>
      <c r="T79" s="1">
        <v>26.813700000000001</v>
      </c>
      <c r="U79" s="1" t="s">
        <v>14</v>
      </c>
      <c r="V79" s="1" t="s">
        <v>31</v>
      </c>
      <c r="W79" s="1">
        <v>0.1237</v>
      </c>
      <c r="X79" s="1" t="s">
        <v>13</v>
      </c>
      <c r="Y79" s="3" t="s">
        <v>31</v>
      </c>
      <c r="Z79" s="3">
        <v>0.17899999999999999</v>
      </c>
      <c r="AA79" s="3" t="s">
        <v>13</v>
      </c>
      <c r="AB79" s="1" t="s">
        <v>31</v>
      </c>
      <c r="AC79" s="1">
        <v>8.0723000000000003</v>
      </c>
      <c r="AD79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79"/>
  <sheetViews>
    <sheetView topLeftCell="D7" zoomScale="150" workbookViewId="0">
      <selection activeCell="W3" sqref="W3"/>
    </sheetView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D1" s="1" t="s">
        <v>1</v>
      </c>
      <c r="G1" s="1" t="s">
        <v>2</v>
      </c>
      <c r="J1" s="1" t="s">
        <v>3</v>
      </c>
      <c r="M1" s="1" t="s">
        <v>75</v>
      </c>
      <c r="P1" s="1" t="s">
        <v>76</v>
      </c>
      <c r="S1" s="1" t="s">
        <v>6</v>
      </c>
      <c r="V1" s="1" t="s">
        <v>7</v>
      </c>
      <c r="Y1" s="3" t="s">
        <v>77</v>
      </c>
      <c r="Z1" s="3"/>
      <c r="AA1" s="3"/>
      <c r="AB1" s="1" t="s">
        <v>9</v>
      </c>
    </row>
    <row r="2" spans="1:30" ht="15.75" customHeight="1" x14ac:dyDescent="0.15">
      <c r="Y2" s="3"/>
      <c r="Z2" s="3"/>
      <c r="AA2" s="3"/>
    </row>
    <row r="3" spans="1:30" ht="15.75" customHeight="1" x14ac:dyDescent="0.15">
      <c r="A3" s="1" t="s">
        <v>10</v>
      </c>
      <c r="D3" s="1" t="s">
        <v>10</v>
      </c>
      <c r="G3" s="1" t="s">
        <v>10</v>
      </c>
      <c r="J3" s="1" t="s">
        <v>10</v>
      </c>
      <c r="M3" s="1" t="s">
        <v>10</v>
      </c>
      <c r="P3" s="1" t="s">
        <v>10</v>
      </c>
      <c r="S3" s="1" t="s">
        <v>10</v>
      </c>
      <c r="V3" s="1" t="s">
        <v>10</v>
      </c>
      <c r="Y3" s="3" t="s">
        <v>10</v>
      </c>
      <c r="Z3" s="3"/>
      <c r="AA3" s="3"/>
      <c r="AB3" s="1" t="s">
        <v>10</v>
      </c>
    </row>
    <row r="4" spans="1:30" ht="15.75" customHeight="1" x14ac:dyDescent="0.15">
      <c r="A4" s="1" t="s">
        <v>11</v>
      </c>
      <c r="D4" s="1" t="s">
        <v>11</v>
      </c>
      <c r="G4" s="1" t="s">
        <v>11</v>
      </c>
      <c r="J4" s="1" t="s">
        <v>11</v>
      </c>
      <c r="M4" s="1" t="s">
        <v>11</v>
      </c>
      <c r="P4" s="1" t="s">
        <v>11</v>
      </c>
      <c r="S4" s="1" t="s">
        <v>11</v>
      </c>
      <c r="V4" s="1" t="s">
        <v>11</v>
      </c>
      <c r="Y4" s="3" t="s">
        <v>11</v>
      </c>
      <c r="Z4" s="3"/>
      <c r="AA4" s="3"/>
      <c r="AB4" s="1" t="s">
        <v>11</v>
      </c>
    </row>
    <row r="5" spans="1:30" ht="15.75" customHeight="1" x14ac:dyDescent="0.15">
      <c r="A5" s="1" t="s">
        <v>10</v>
      </c>
      <c r="D5" s="1" t="s">
        <v>10</v>
      </c>
      <c r="G5" s="1" t="s">
        <v>10</v>
      </c>
      <c r="J5" s="1" t="s">
        <v>10</v>
      </c>
      <c r="M5" s="1" t="s">
        <v>10</v>
      </c>
      <c r="P5" s="1" t="s">
        <v>10</v>
      </c>
      <c r="S5" s="1" t="s">
        <v>10</v>
      </c>
      <c r="V5" s="1" t="s">
        <v>10</v>
      </c>
      <c r="Y5" s="3" t="s">
        <v>10</v>
      </c>
      <c r="Z5" s="3"/>
      <c r="AA5" s="3"/>
      <c r="AB5" s="1" t="s">
        <v>10</v>
      </c>
    </row>
    <row r="6" spans="1:30" ht="15.75" customHeight="1" x14ac:dyDescent="0.15">
      <c r="A6" s="1" t="s">
        <v>12</v>
      </c>
      <c r="B6" s="1">
        <v>14.666</v>
      </c>
      <c r="C6" s="1" t="s">
        <v>13</v>
      </c>
      <c r="D6" s="1" t="s">
        <v>12</v>
      </c>
      <c r="E6" s="1">
        <v>16.177800000000001</v>
      </c>
      <c r="F6" s="1" t="s">
        <v>13</v>
      </c>
      <c r="G6" s="1" t="s">
        <v>12</v>
      </c>
      <c r="H6" s="1">
        <v>1.3776999999999999</v>
      </c>
      <c r="I6" s="1" t="s">
        <v>13</v>
      </c>
      <c r="J6" s="1" t="s">
        <v>12</v>
      </c>
      <c r="K6" s="1">
        <v>0.28260000000000002</v>
      </c>
      <c r="L6" s="1" t="s">
        <v>13</v>
      </c>
      <c r="M6" s="1" t="s">
        <v>12</v>
      </c>
      <c r="N6" s="1">
        <v>7.2838000000000003</v>
      </c>
      <c r="O6" s="1" t="s">
        <v>14</v>
      </c>
      <c r="P6" s="1" t="s">
        <v>12</v>
      </c>
      <c r="Q6" s="1">
        <v>2.4546999999999999</v>
      </c>
      <c r="R6" s="1" t="s">
        <v>13</v>
      </c>
      <c r="S6" s="1" t="s">
        <v>12</v>
      </c>
      <c r="T6" s="1">
        <v>0.16650000000000001</v>
      </c>
      <c r="U6" s="1" t="s">
        <v>13</v>
      </c>
      <c r="V6" s="1" t="s">
        <v>12</v>
      </c>
      <c r="W6" s="1">
        <v>99.236999999999995</v>
      </c>
      <c r="X6" s="1" t="s">
        <v>14</v>
      </c>
      <c r="Y6" s="3" t="s">
        <v>12</v>
      </c>
      <c r="Z6" s="3">
        <v>3.0116999999999998</v>
      </c>
      <c r="AA6" s="3" t="s">
        <v>13</v>
      </c>
      <c r="AB6" s="1" t="s">
        <v>12</v>
      </c>
      <c r="AC6" s="1">
        <v>12.4533</v>
      </c>
      <c r="AD6" s="1" t="s">
        <v>14</v>
      </c>
    </row>
    <row r="7" spans="1:30" ht="15.75" customHeight="1" x14ac:dyDescent="0.15">
      <c r="A7" s="1" t="s">
        <v>15</v>
      </c>
      <c r="B7" s="1">
        <v>14.924300000000001</v>
      </c>
      <c r="C7" s="1" t="s">
        <v>13</v>
      </c>
      <c r="D7" s="1" t="s">
        <v>15</v>
      </c>
      <c r="E7" s="1">
        <v>16.291899999999998</v>
      </c>
      <c r="F7" s="1" t="s">
        <v>13</v>
      </c>
      <c r="G7" s="1" t="s">
        <v>15</v>
      </c>
      <c r="H7" s="1">
        <v>1.3844000000000001</v>
      </c>
      <c r="I7" s="1" t="s">
        <v>13</v>
      </c>
      <c r="J7" s="1" t="s">
        <v>15</v>
      </c>
      <c r="K7" s="1">
        <v>0.28760000000000002</v>
      </c>
      <c r="L7" s="1" t="s">
        <v>13</v>
      </c>
      <c r="M7" s="1" t="s">
        <v>15</v>
      </c>
      <c r="N7" s="1">
        <v>7.2873999999999999</v>
      </c>
      <c r="O7" s="1" t="s">
        <v>14</v>
      </c>
      <c r="P7" s="1" t="s">
        <v>15</v>
      </c>
      <c r="Q7" s="1">
        <v>2.4590999999999998</v>
      </c>
      <c r="R7" s="1" t="s">
        <v>13</v>
      </c>
      <c r="S7" s="1" t="s">
        <v>15</v>
      </c>
      <c r="T7" s="1">
        <v>0.1666</v>
      </c>
      <c r="U7" s="1" t="s">
        <v>13</v>
      </c>
      <c r="V7" s="1" t="s">
        <v>15</v>
      </c>
      <c r="W7" s="1">
        <v>0.1086</v>
      </c>
      <c r="X7" s="1" t="s">
        <v>13</v>
      </c>
      <c r="Y7" s="3" t="s">
        <v>15</v>
      </c>
      <c r="Z7" s="3">
        <v>3.0129000000000001</v>
      </c>
      <c r="AA7" s="3" t="s">
        <v>13</v>
      </c>
      <c r="AB7" s="1" t="s">
        <v>15</v>
      </c>
      <c r="AC7" s="1">
        <v>13.06</v>
      </c>
      <c r="AD7" s="1" t="s">
        <v>14</v>
      </c>
    </row>
    <row r="8" spans="1:30" ht="15.75" customHeight="1" x14ac:dyDescent="0.15">
      <c r="A8" s="1" t="s">
        <v>16</v>
      </c>
      <c r="B8" s="1">
        <v>-0.25829999999999997</v>
      </c>
      <c r="C8" s="1" t="s">
        <v>13</v>
      </c>
      <c r="D8" s="1" t="s">
        <v>16</v>
      </c>
      <c r="E8" s="2">
        <v>-0.11409999999999999</v>
      </c>
      <c r="F8" s="1" t="s">
        <v>13</v>
      </c>
      <c r="G8" s="1" t="s">
        <v>16</v>
      </c>
      <c r="H8" s="1">
        <v>-6.7000000000000002E-3</v>
      </c>
      <c r="I8" s="1" t="s">
        <v>13</v>
      </c>
      <c r="J8" s="1" t="s">
        <v>16</v>
      </c>
      <c r="K8" s="1">
        <v>-5.0000000000000001E-3</v>
      </c>
      <c r="L8" s="1" t="s">
        <v>13</v>
      </c>
      <c r="M8" s="1" t="s">
        <v>16</v>
      </c>
      <c r="N8" s="2">
        <v>-3.5524000000000001E-6</v>
      </c>
      <c r="O8" s="1" t="s">
        <v>13</v>
      </c>
      <c r="P8" s="1" t="s">
        <v>16</v>
      </c>
      <c r="Q8" s="1">
        <v>-4.4000000000000003E-3</v>
      </c>
      <c r="R8" s="1" t="s">
        <v>13</v>
      </c>
      <c r="S8" s="1" t="s">
        <v>16</v>
      </c>
      <c r="T8" s="2">
        <v>-1.1495E-4</v>
      </c>
      <c r="U8" s="1" t="s">
        <v>13</v>
      </c>
      <c r="V8" s="1" t="s">
        <v>16</v>
      </c>
      <c r="W8" s="1">
        <v>-9.4000000000000004E-3</v>
      </c>
      <c r="X8" s="1" t="s">
        <v>13</v>
      </c>
      <c r="Y8" s="3" t="s">
        <v>16</v>
      </c>
      <c r="Z8" s="3">
        <v>-1.1999999999999999E-3</v>
      </c>
      <c r="AA8" s="3" t="s">
        <v>13</v>
      </c>
      <c r="AB8" s="1" t="s">
        <v>16</v>
      </c>
      <c r="AC8" s="2">
        <v>-6.0676999999999997E-4</v>
      </c>
      <c r="AD8" s="1" t="s">
        <v>13</v>
      </c>
    </row>
    <row r="9" spans="1:30" ht="15.75" customHeight="1" x14ac:dyDescent="0.15">
      <c r="A9" s="1" t="s">
        <v>17</v>
      </c>
      <c r="B9" s="1">
        <v>33.391500000000001</v>
      </c>
      <c r="C9" s="1" t="s">
        <v>14</v>
      </c>
      <c r="D9" s="1" t="s">
        <v>17</v>
      </c>
      <c r="E9" s="1">
        <v>2.5004</v>
      </c>
      <c r="F9" s="1" t="s">
        <v>14</v>
      </c>
      <c r="G9" s="1" t="s">
        <v>17</v>
      </c>
      <c r="H9" s="1">
        <v>1.6606000000000001</v>
      </c>
      <c r="I9" s="1" t="s">
        <v>14</v>
      </c>
      <c r="J9" s="1" t="s">
        <v>17</v>
      </c>
      <c r="K9" s="1">
        <v>63.766300000000001</v>
      </c>
      <c r="L9" s="1" t="s">
        <v>18</v>
      </c>
      <c r="M9" s="1" t="s">
        <v>17</v>
      </c>
      <c r="N9" s="1">
        <v>2.8992</v>
      </c>
      <c r="O9" s="1" t="s">
        <v>18</v>
      </c>
      <c r="P9" s="1" t="s">
        <v>17</v>
      </c>
      <c r="Q9" s="1">
        <v>6.4124999999999996</v>
      </c>
      <c r="R9" s="1" t="s">
        <v>14</v>
      </c>
      <c r="S9" s="1" t="s">
        <v>17</v>
      </c>
      <c r="T9" s="1">
        <v>0.55249999999999999</v>
      </c>
      <c r="U9" s="1" t="s">
        <v>14</v>
      </c>
      <c r="V9" s="1" t="s">
        <v>17</v>
      </c>
      <c r="W9" s="1">
        <v>25.683700000000002</v>
      </c>
      <c r="X9" s="1" t="s">
        <v>18</v>
      </c>
      <c r="Y9" s="3" t="s">
        <v>17</v>
      </c>
      <c r="Z9" s="3">
        <v>0.33239999999999997</v>
      </c>
      <c r="AA9" s="3" t="s">
        <v>14</v>
      </c>
      <c r="AB9" s="1" t="s">
        <v>17</v>
      </c>
      <c r="AC9" s="1">
        <v>3.4958999999999998</v>
      </c>
      <c r="AD9" s="1" t="s">
        <v>18</v>
      </c>
    </row>
    <row r="10" spans="1:30" ht="15.75" customHeight="1" x14ac:dyDescent="0.15">
      <c r="A10" s="1" t="s">
        <v>19</v>
      </c>
      <c r="B10" s="1">
        <v>75.019800000000004</v>
      </c>
      <c r="C10" s="1" t="s">
        <v>14</v>
      </c>
      <c r="D10" s="1" t="s">
        <v>19</v>
      </c>
      <c r="E10" s="1">
        <v>19.604199999999999</v>
      </c>
      <c r="F10" s="1" t="s">
        <v>14</v>
      </c>
      <c r="G10" s="1" t="s">
        <v>19</v>
      </c>
      <c r="H10" s="1">
        <v>2.4758</v>
      </c>
      <c r="I10" s="1" t="s">
        <v>14</v>
      </c>
      <c r="J10" s="1" t="s">
        <v>19</v>
      </c>
      <c r="K10" s="1">
        <v>0.32169999999999999</v>
      </c>
      <c r="L10" s="1" t="s">
        <v>14</v>
      </c>
      <c r="M10" s="1" t="s">
        <v>19</v>
      </c>
      <c r="N10" s="1">
        <v>12.133100000000001</v>
      </c>
      <c r="O10" s="1" t="s">
        <v>18</v>
      </c>
      <c r="P10" s="1" t="s">
        <v>19</v>
      </c>
      <c r="Q10" s="1">
        <v>7.4772999999999996</v>
      </c>
      <c r="R10" s="1" t="s">
        <v>14</v>
      </c>
      <c r="S10" s="1" t="s">
        <v>19</v>
      </c>
      <c r="T10" s="1">
        <v>1.6596</v>
      </c>
      <c r="U10" s="1" t="s">
        <v>14</v>
      </c>
      <c r="V10" s="1" t="s">
        <v>19</v>
      </c>
      <c r="W10" s="1">
        <v>89.375</v>
      </c>
      <c r="X10" s="1" t="s">
        <v>18</v>
      </c>
      <c r="Y10" s="3" t="s">
        <v>19</v>
      </c>
      <c r="Z10" s="3">
        <v>18.293399999999998</v>
      </c>
      <c r="AA10" s="3" t="s">
        <v>14</v>
      </c>
      <c r="AB10" s="1" t="s">
        <v>19</v>
      </c>
      <c r="AC10" s="1">
        <v>12.820499999999999</v>
      </c>
      <c r="AD10" s="1" t="s">
        <v>18</v>
      </c>
    </row>
    <row r="11" spans="1:30" ht="15.75" customHeight="1" x14ac:dyDescent="0.15">
      <c r="A11" s="1" t="s">
        <v>20</v>
      </c>
      <c r="B11" s="1">
        <v>21.270099999999999</v>
      </c>
      <c r="C11" s="1" t="s">
        <v>14</v>
      </c>
      <c r="D11" s="1" t="s">
        <v>20</v>
      </c>
      <c r="E11" s="1">
        <v>23.4404</v>
      </c>
      <c r="F11" s="1" t="s">
        <v>14</v>
      </c>
      <c r="G11" s="1" t="s">
        <v>20</v>
      </c>
      <c r="H11" s="1">
        <v>9.7146000000000008</v>
      </c>
      <c r="I11" s="1" t="s">
        <v>14</v>
      </c>
      <c r="J11" s="1" t="s">
        <v>20</v>
      </c>
      <c r="K11" s="1">
        <v>0.59379999999999999</v>
      </c>
      <c r="L11" s="1" t="s">
        <v>14</v>
      </c>
      <c r="M11" s="1" t="s">
        <v>20</v>
      </c>
      <c r="N11" s="1">
        <v>11.8742</v>
      </c>
      <c r="O11" s="1" t="s">
        <v>18</v>
      </c>
      <c r="P11" s="1" t="s">
        <v>20</v>
      </c>
      <c r="Q11" s="1">
        <v>7.9360999999999997</v>
      </c>
      <c r="R11" s="1" t="s">
        <v>14</v>
      </c>
      <c r="S11" s="1" t="s">
        <v>20</v>
      </c>
      <c r="T11" s="1">
        <v>1.9161999999999999</v>
      </c>
      <c r="U11" s="1" t="s">
        <v>14</v>
      </c>
      <c r="V11" s="1" t="s">
        <v>20</v>
      </c>
      <c r="W11" s="1">
        <v>0.1091</v>
      </c>
      <c r="X11" s="1" t="s">
        <v>14</v>
      </c>
      <c r="Y11" s="3" t="s">
        <v>20</v>
      </c>
      <c r="Z11" s="3">
        <v>9.7090999999999994</v>
      </c>
      <c r="AA11" s="3" t="s">
        <v>14</v>
      </c>
      <c r="AB11" s="1" t="s">
        <v>20</v>
      </c>
      <c r="AC11" s="1">
        <v>16.287600000000001</v>
      </c>
      <c r="AD11" s="1" t="s">
        <v>18</v>
      </c>
    </row>
    <row r="12" spans="1:30" ht="15.75" customHeight="1" x14ac:dyDescent="0.15">
      <c r="A12" s="1" t="s">
        <v>21</v>
      </c>
      <c r="B12" s="1">
        <v>3.4653</v>
      </c>
      <c r="C12" s="1" t="s">
        <v>14</v>
      </c>
      <c r="D12" s="1" t="s">
        <v>21</v>
      </c>
      <c r="E12" s="1">
        <v>1.9852000000000001</v>
      </c>
      <c r="F12" s="1" t="s">
        <v>14</v>
      </c>
      <c r="G12" s="1" t="s">
        <v>21</v>
      </c>
      <c r="H12" s="1">
        <v>1.3709</v>
      </c>
      <c r="I12" s="1" t="s">
        <v>14</v>
      </c>
      <c r="J12" s="1" t="s">
        <v>21</v>
      </c>
      <c r="K12" s="1">
        <v>42.023299999999999</v>
      </c>
      <c r="L12" s="1" t="s">
        <v>18</v>
      </c>
      <c r="M12" s="1" t="s">
        <v>21</v>
      </c>
      <c r="N12" s="1">
        <v>3.3216999999999999</v>
      </c>
      <c r="O12" s="1" t="s">
        <v>18</v>
      </c>
      <c r="P12" s="1" t="s">
        <v>21</v>
      </c>
      <c r="Q12" s="1">
        <v>1.2923</v>
      </c>
      <c r="R12" s="1" t="s">
        <v>14</v>
      </c>
      <c r="S12" s="1" t="s">
        <v>21</v>
      </c>
      <c r="T12" s="1">
        <v>13.415900000000001</v>
      </c>
      <c r="U12" s="1" t="s">
        <v>18</v>
      </c>
      <c r="V12" s="1" t="s">
        <v>21</v>
      </c>
      <c r="W12" s="1">
        <v>5.9288999999999996</v>
      </c>
      <c r="X12" s="1" t="s">
        <v>18</v>
      </c>
      <c r="Y12" s="3" t="s">
        <v>21</v>
      </c>
      <c r="Z12" s="3">
        <v>0.80179999999999996</v>
      </c>
      <c r="AA12" s="3" t="s">
        <v>14</v>
      </c>
      <c r="AB12" s="1" t="s">
        <v>21</v>
      </c>
      <c r="AC12" s="1">
        <v>0.75790000000000002</v>
      </c>
      <c r="AD12" s="1" t="s">
        <v>18</v>
      </c>
    </row>
    <row r="13" spans="1:30" ht="15.75" customHeight="1" x14ac:dyDescent="0.15">
      <c r="A13" s="1" t="s">
        <v>22</v>
      </c>
      <c r="B13" s="1">
        <v>3.3662000000000001</v>
      </c>
      <c r="C13" s="1" t="s">
        <v>14</v>
      </c>
      <c r="D13" s="1" t="s">
        <v>22</v>
      </c>
      <c r="E13" s="1">
        <v>1.7325999999999999</v>
      </c>
      <c r="F13" s="1" t="s">
        <v>14</v>
      </c>
      <c r="G13" s="1" t="s">
        <v>22</v>
      </c>
      <c r="H13" s="1">
        <v>1.1498999999999999</v>
      </c>
      <c r="I13" s="1" t="s">
        <v>14</v>
      </c>
      <c r="J13" s="1" t="s">
        <v>22</v>
      </c>
      <c r="K13" s="1">
        <v>37.044400000000003</v>
      </c>
      <c r="L13" s="1" t="s">
        <v>18</v>
      </c>
      <c r="M13" s="1" t="s">
        <v>22</v>
      </c>
      <c r="N13" s="1">
        <v>0.5161</v>
      </c>
      <c r="O13" s="1" t="s">
        <v>18</v>
      </c>
      <c r="P13" s="1" t="s">
        <v>22</v>
      </c>
      <c r="Q13" s="1">
        <v>1.0819000000000001</v>
      </c>
      <c r="R13" s="1" t="s">
        <v>14</v>
      </c>
      <c r="S13" s="1" t="s">
        <v>22</v>
      </c>
      <c r="T13" s="1">
        <v>13.286099999999999</v>
      </c>
      <c r="U13" s="1" t="s">
        <v>18</v>
      </c>
      <c r="V13" s="1" t="s">
        <v>22</v>
      </c>
      <c r="W13" s="1">
        <v>5.6418999999999997</v>
      </c>
      <c r="X13" s="1" t="s">
        <v>18</v>
      </c>
      <c r="Y13" s="3" t="s">
        <v>22</v>
      </c>
      <c r="Z13" s="3">
        <v>0.78959999999999997</v>
      </c>
      <c r="AA13" s="3" t="s">
        <v>14</v>
      </c>
      <c r="AB13" s="1" t="s">
        <v>22</v>
      </c>
      <c r="AC13" s="1">
        <v>0.73899999999999999</v>
      </c>
      <c r="AD13" s="1" t="s">
        <v>18</v>
      </c>
    </row>
    <row r="14" spans="1:30" ht="15.75" customHeight="1" x14ac:dyDescent="0.15">
      <c r="A14" s="1" t="s">
        <v>23</v>
      </c>
      <c r="B14" s="1">
        <v>2.9270999999999998</v>
      </c>
      <c r="C14" s="1" t="s">
        <v>14</v>
      </c>
      <c r="D14" s="1" t="s">
        <v>23</v>
      </c>
      <c r="E14" s="1">
        <v>1.0661</v>
      </c>
      <c r="F14" s="1" t="s">
        <v>14</v>
      </c>
      <c r="G14" s="1" t="s">
        <v>23</v>
      </c>
      <c r="H14" s="1">
        <v>13.170500000000001</v>
      </c>
      <c r="I14" s="1" t="s">
        <v>14</v>
      </c>
      <c r="J14" s="1" t="s">
        <v>23</v>
      </c>
      <c r="K14" s="1">
        <v>0.12609999999999999</v>
      </c>
      <c r="L14" s="1" t="s">
        <v>14</v>
      </c>
      <c r="M14" s="1" t="s">
        <v>23</v>
      </c>
      <c r="N14" s="1">
        <v>1.5330999999999999</v>
      </c>
      <c r="O14" s="1" t="s">
        <v>18</v>
      </c>
      <c r="P14" s="1" t="s">
        <v>23</v>
      </c>
      <c r="Q14" s="1">
        <v>4.8936000000000002</v>
      </c>
      <c r="R14" s="1" t="s">
        <v>14</v>
      </c>
      <c r="S14" s="1" t="s">
        <v>23</v>
      </c>
      <c r="T14" s="1">
        <v>0.12479999999999999</v>
      </c>
      <c r="U14" s="1" t="s">
        <v>18</v>
      </c>
      <c r="V14" s="1" t="s">
        <v>23</v>
      </c>
      <c r="W14" s="1">
        <v>8.5972000000000008</v>
      </c>
      <c r="X14" s="1" t="s">
        <v>18</v>
      </c>
      <c r="Y14" s="3" t="s">
        <v>23</v>
      </c>
      <c r="Z14" s="3">
        <v>0.1022</v>
      </c>
      <c r="AA14" s="3" t="s">
        <v>14</v>
      </c>
      <c r="AB14" s="1" t="s">
        <v>23</v>
      </c>
      <c r="AC14" s="1">
        <v>61.305500000000002</v>
      </c>
      <c r="AD14" s="1" t="s">
        <v>14</v>
      </c>
    </row>
    <row r="15" spans="1:30" ht="15.75" customHeight="1" x14ac:dyDescent="0.15">
      <c r="A15" s="1" t="s">
        <v>24</v>
      </c>
      <c r="B15" s="1">
        <v>30.844899999999999</v>
      </c>
      <c r="C15" s="1" t="s">
        <v>14</v>
      </c>
      <c r="D15" s="1" t="s">
        <v>24</v>
      </c>
      <c r="E15" s="1">
        <v>25.084399999999999</v>
      </c>
      <c r="F15" s="1" t="s">
        <v>14</v>
      </c>
      <c r="G15" s="1" t="s">
        <v>24</v>
      </c>
      <c r="H15" s="1">
        <v>2.6374</v>
      </c>
      <c r="I15" s="1" t="s">
        <v>14</v>
      </c>
      <c r="J15" s="1" t="s">
        <v>24</v>
      </c>
      <c r="K15" s="1">
        <v>0.50419999999999998</v>
      </c>
      <c r="L15" s="1" t="s">
        <v>14</v>
      </c>
      <c r="M15" s="1" t="s">
        <v>24</v>
      </c>
      <c r="N15" s="1">
        <v>8.7116000000000007</v>
      </c>
      <c r="O15" s="1" t="s">
        <v>18</v>
      </c>
      <c r="P15" s="1" t="s">
        <v>24</v>
      </c>
      <c r="Q15" s="1">
        <v>7.1306000000000003</v>
      </c>
      <c r="R15" s="1" t="s">
        <v>14</v>
      </c>
      <c r="S15" s="1" t="s">
        <v>24</v>
      </c>
      <c r="T15" s="1">
        <v>5.4482999999999997</v>
      </c>
      <c r="U15" s="1" t="s">
        <v>14</v>
      </c>
      <c r="V15" s="1" t="s">
        <v>24</v>
      </c>
      <c r="W15" s="1">
        <v>0.24049999999999999</v>
      </c>
      <c r="X15" s="1" t="s">
        <v>14</v>
      </c>
      <c r="Y15" s="3" t="s">
        <v>24</v>
      </c>
      <c r="Z15" s="3">
        <v>3.6758999999999999</v>
      </c>
      <c r="AA15" s="3" t="s">
        <v>14</v>
      </c>
      <c r="AB15" s="1" t="s">
        <v>24</v>
      </c>
      <c r="AC15" s="1">
        <v>31.351400000000002</v>
      </c>
      <c r="AD15" s="1" t="s">
        <v>18</v>
      </c>
    </row>
    <row r="16" spans="1:30" ht="15.75" customHeight="1" x14ac:dyDescent="0.15">
      <c r="A16" s="1" t="s">
        <v>25</v>
      </c>
      <c r="B16" s="1">
        <v>0.3105</v>
      </c>
      <c r="C16" s="1" t="s">
        <v>14</v>
      </c>
      <c r="D16" s="1" t="s">
        <v>25</v>
      </c>
      <c r="E16" s="1">
        <v>0.26179999999999998</v>
      </c>
      <c r="F16" s="1" t="s">
        <v>14</v>
      </c>
      <c r="G16" s="1" t="s">
        <v>25</v>
      </c>
      <c r="H16" s="1">
        <v>34.701900000000002</v>
      </c>
      <c r="I16" s="1" t="s">
        <v>18</v>
      </c>
      <c r="J16" s="1" t="s">
        <v>25</v>
      </c>
      <c r="K16" s="1">
        <v>7.2760999999999996</v>
      </c>
      <c r="L16" s="1" t="s">
        <v>18</v>
      </c>
      <c r="M16" s="1" t="s">
        <v>25</v>
      </c>
      <c r="N16" s="1">
        <v>1.1028</v>
      </c>
      <c r="O16" s="1" t="s">
        <v>18</v>
      </c>
      <c r="P16" s="1" t="s">
        <v>25</v>
      </c>
      <c r="Q16" s="1">
        <v>2</v>
      </c>
      <c r="R16" s="1" t="s">
        <v>14</v>
      </c>
      <c r="S16" s="1" t="s">
        <v>25</v>
      </c>
      <c r="T16" s="1">
        <v>40.540599999999998</v>
      </c>
      <c r="U16" s="1" t="s">
        <v>18</v>
      </c>
      <c r="V16" s="1" t="s">
        <v>25</v>
      </c>
      <c r="W16" s="1">
        <v>1.9430000000000001</v>
      </c>
      <c r="X16" s="1" t="s">
        <v>18</v>
      </c>
      <c r="Y16" s="3" t="s">
        <v>25</v>
      </c>
      <c r="Z16" s="3">
        <v>28.083200000000001</v>
      </c>
      <c r="AA16" s="3" t="s">
        <v>18</v>
      </c>
      <c r="AB16" s="1" t="s">
        <v>25</v>
      </c>
      <c r="AC16" s="1">
        <v>0.29509999999999997</v>
      </c>
      <c r="AD16" s="1" t="s">
        <v>18</v>
      </c>
    </row>
    <row r="17" spans="1:30" ht="15.75" customHeight="1" x14ac:dyDescent="0.15">
      <c r="A17" s="1" t="s">
        <v>26</v>
      </c>
      <c r="B17" s="1">
        <v>0.36649999999999999</v>
      </c>
      <c r="C17" s="1" t="s">
        <v>14</v>
      </c>
      <c r="D17" s="1" t="s">
        <v>26</v>
      </c>
      <c r="E17" s="1">
        <v>0.51</v>
      </c>
      <c r="F17" s="1" t="s">
        <v>14</v>
      </c>
      <c r="G17" s="1" t="s">
        <v>26</v>
      </c>
      <c r="H17" s="1">
        <v>0.1021</v>
      </c>
      <c r="I17" s="1" t="s">
        <v>14</v>
      </c>
      <c r="J17" s="1" t="s">
        <v>26</v>
      </c>
      <c r="K17" s="1">
        <v>7.8650000000000002</v>
      </c>
      <c r="L17" s="1" t="s">
        <v>18</v>
      </c>
      <c r="M17" s="1" t="s">
        <v>26</v>
      </c>
      <c r="N17" s="1">
        <v>79.827100000000002</v>
      </c>
      <c r="O17" s="1" t="s">
        <v>27</v>
      </c>
      <c r="P17" s="1" t="s">
        <v>26</v>
      </c>
      <c r="Q17" s="1">
        <v>64.332899999999995</v>
      </c>
      <c r="R17" s="1" t="s">
        <v>18</v>
      </c>
      <c r="S17" s="1" t="s">
        <v>26</v>
      </c>
      <c r="T17" s="1">
        <v>2.7675000000000001</v>
      </c>
      <c r="U17" s="1" t="s">
        <v>18</v>
      </c>
      <c r="V17" s="1" t="s">
        <v>26</v>
      </c>
      <c r="W17" s="1">
        <v>0.43290000000000001</v>
      </c>
      <c r="X17" s="1" t="s">
        <v>18</v>
      </c>
      <c r="Y17" s="3" t="s">
        <v>26</v>
      </c>
      <c r="Z17" s="3">
        <v>0.62050000000000005</v>
      </c>
      <c r="AA17" s="3" t="s">
        <v>14</v>
      </c>
      <c r="AB17" s="1" t="s">
        <v>26</v>
      </c>
      <c r="AC17" s="1">
        <v>91.394300000000001</v>
      </c>
      <c r="AD17" s="1" t="s">
        <v>27</v>
      </c>
    </row>
    <row r="18" spans="1:30" ht="15.75" customHeight="1" x14ac:dyDescent="0.15">
      <c r="A18" s="1" t="s">
        <v>28</v>
      </c>
      <c r="B18" s="1">
        <v>1.1380999999999999</v>
      </c>
      <c r="C18" s="1" t="s">
        <v>14</v>
      </c>
      <c r="D18" s="1" t="s">
        <v>28</v>
      </c>
      <c r="E18" s="1">
        <v>0.47149999999999997</v>
      </c>
      <c r="F18" s="1" t="s">
        <v>14</v>
      </c>
      <c r="G18" s="1" t="s">
        <v>28</v>
      </c>
      <c r="H18" s="1">
        <v>0.25740000000000002</v>
      </c>
      <c r="I18" s="1" t="s">
        <v>14</v>
      </c>
      <c r="J18" s="1" t="s">
        <v>28</v>
      </c>
      <c r="K18" s="1">
        <v>13.362</v>
      </c>
      <c r="L18" s="1" t="s">
        <v>18</v>
      </c>
      <c r="M18" s="1" t="s">
        <v>28</v>
      </c>
      <c r="N18" s="1">
        <v>84.0916</v>
      </c>
      <c r="O18" s="1" t="s">
        <v>27</v>
      </c>
      <c r="P18" s="1" t="s">
        <v>28</v>
      </c>
      <c r="Q18" s="1">
        <v>0.1656</v>
      </c>
      <c r="R18" s="1" t="s">
        <v>14</v>
      </c>
      <c r="S18" s="1" t="s">
        <v>28</v>
      </c>
      <c r="T18" s="1">
        <v>5.6390000000000002</v>
      </c>
      <c r="U18" s="1" t="s">
        <v>18</v>
      </c>
      <c r="V18" s="1" t="s">
        <v>28</v>
      </c>
      <c r="W18" s="1">
        <v>3.2256</v>
      </c>
      <c r="X18" s="1" t="s">
        <v>18</v>
      </c>
      <c r="Y18" s="3" t="s">
        <v>28</v>
      </c>
      <c r="Z18" s="3">
        <v>0.14580000000000001</v>
      </c>
      <c r="AA18" s="3" t="s">
        <v>14</v>
      </c>
      <c r="AB18" s="1" t="s">
        <v>28</v>
      </c>
      <c r="AC18" s="1">
        <v>0.36859999999999998</v>
      </c>
      <c r="AD18" s="1" t="s">
        <v>18</v>
      </c>
    </row>
    <row r="19" spans="1:30" ht="15.75" customHeight="1" x14ac:dyDescent="0.15">
      <c r="A19" s="1" t="s">
        <v>29</v>
      </c>
      <c r="D19" s="1" t="s">
        <v>29</v>
      </c>
      <c r="G19" s="1" t="s">
        <v>29</v>
      </c>
      <c r="J19" s="1" t="s">
        <v>29</v>
      </c>
      <c r="M19" s="1" t="s">
        <v>29</v>
      </c>
      <c r="P19" s="1" t="s">
        <v>29</v>
      </c>
      <c r="S19" s="1" t="s">
        <v>29</v>
      </c>
      <c r="V19" s="1" t="s">
        <v>29</v>
      </c>
      <c r="Y19" s="3" t="s">
        <v>29</v>
      </c>
      <c r="Z19" s="3"/>
      <c r="AA19" s="3"/>
      <c r="AB19" s="1" t="s">
        <v>29</v>
      </c>
    </row>
    <row r="20" spans="1:30" s="25" customFormat="1" ht="15.75" customHeight="1" x14ac:dyDescent="0.15">
      <c r="A20" s="24" t="s">
        <v>30</v>
      </c>
      <c r="B20" s="24">
        <v>15.8919</v>
      </c>
      <c r="C20" s="24" t="s">
        <v>13</v>
      </c>
      <c r="D20" s="24" t="s">
        <v>30</v>
      </c>
      <c r="E20" s="24">
        <v>17.035399999999999</v>
      </c>
      <c r="F20" s="24" t="s">
        <v>13</v>
      </c>
      <c r="G20" s="24" t="s">
        <v>30</v>
      </c>
      <c r="H20" s="24">
        <v>1.4748000000000001</v>
      </c>
      <c r="I20" s="24" t="s">
        <v>13</v>
      </c>
      <c r="J20" s="24" t="s">
        <v>30</v>
      </c>
      <c r="K20" s="24">
        <v>0.30030000000000001</v>
      </c>
      <c r="L20" s="24" t="s">
        <v>13</v>
      </c>
      <c r="M20" s="24" t="s">
        <v>30</v>
      </c>
      <c r="N20" s="24">
        <v>7.8726000000000003</v>
      </c>
      <c r="O20" s="24" t="s">
        <v>14</v>
      </c>
      <c r="P20" s="24" t="s">
        <v>30</v>
      </c>
      <c r="Q20" s="24">
        <v>3.2448999999999999</v>
      </c>
      <c r="R20" s="24" t="s">
        <v>13</v>
      </c>
      <c r="S20" s="24" t="s">
        <v>30</v>
      </c>
      <c r="T20" s="24">
        <v>0.34429999999999999</v>
      </c>
      <c r="U20" s="24" t="s">
        <v>13</v>
      </c>
      <c r="V20" s="24" t="s">
        <v>30</v>
      </c>
      <c r="W20" s="24">
        <v>0.1072</v>
      </c>
      <c r="X20" s="24" t="s">
        <v>13</v>
      </c>
      <c r="Y20" s="3" t="s">
        <v>30</v>
      </c>
      <c r="Z20" s="3">
        <v>3.1587000000000001</v>
      </c>
      <c r="AA20" s="3" t="s">
        <v>13</v>
      </c>
      <c r="AB20" s="24" t="s">
        <v>30</v>
      </c>
      <c r="AC20" s="24">
        <v>13.4992</v>
      </c>
      <c r="AD20" s="24" t="s">
        <v>14</v>
      </c>
    </row>
    <row r="21" spans="1:30" ht="15.75" customHeight="1" x14ac:dyDescent="0.15">
      <c r="A21" s="1" t="s">
        <v>31</v>
      </c>
      <c r="B21" s="1">
        <v>17.517399999999999</v>
      </c>
      <c r="C21" s="1" t="s">
        <v>13</v>
      </c>
      <c r="D21" s="1" t="s">
        <v>31</v>
      </c>
      <c r="E21" s="1">
        <v>18.357299999999999</v>
      </c>
      <c r="F21" s="1" t="s">
        <v>13</v>
      </c>
      <c r="G21" s="1" t="s">
        <v>31</v>
      </c>
      <c r="H21" s="1">
        <v>1.6137999999999999</v>
      </c>
      <c r="I21" s="1" t="s">
        <v>13</v>
      </c>
      <c r="J21" s="1" t="s">
        <v>31</v>
      </c>
      <c r="K21" s="1">
        <v>0.32690000000000002</v>
      </c>
      <c r="L21" s="1" t="s">
        <v>13</v>
      </c>
      <c r="M21" s="1" t="s">
        <v>31</v>
      </c>
      <c r="N21" s="1">
        <v>8.3316999999999997</v>
      </c>
      <c r="O21" s="1" t="s">
        <v>14</v>
      </c>
      <c r="P21" s="1" t="s">
        <v>31</v>
      </c>
      <c r="Q21" s="1">
        <v>3.6206999999999998</v>
      </c>
      <c r="R21" s="1" t="s">
        <v>13</v>
      </c>
      <c r="S21" s="1" t="s">
        <v>31</v>
      </c>
      <c r="T21" s="1">
        <v>0.63139999999999996</v>
      </c>
      <c r="U21" s="1" t="s">
        <v>13</v>
      </c>
      <c r="V21" s="1" t="s">
        <v>31</v>
      </c>
      <c r="W21" s="1">
        <v>0.1198</v>
      </c>
      <c r="X21" s="1" t="s">
        <v>13</v>
      </c>
      <c r="Y21" s="3" t="s">
        <v>31</v>
      </c>
      <c r="Z21" s="3">
        <v>3.3523999999999998</v>
      </c>
      <c r="AA21" s="3" t="s">
        <v>13</v>
      </c>
      <c r="AB21" s="1" t="s">
        <v>31</v>
      </c>
      <c r="AC21" s="1">
        <v>15.151400000000001</v>
      </c>
      <c r="AD21" s="1" t="s">
        <v>14</v>
      </c>
    </row>
    <row r="22" spans="1:30" ht="15.75" customHeight="1" x14ac:dyDescent="0.15">
      <c r="A22" s="1" t="s">
        <v>32</v>
      </c>
      <c r="D22" s="1" t="s">
        <v>32</v>
      </c>
      <c r="G22" s="1" t="s">
        <v>32</v>
      </c>
      <c r="J22" s="1" t="s">
        <v>32</v>
      </c>
      <c r="M22" s="1" t="s">
        <v>32</v>
      </c>
      <c r="P22" s="1" t="s">
        <v>32</v>
      </c>
      <c r="S22" s="1" t="s">
        <v>32</v>
      </c>
      <c r="V22" s="1" t="s">
        <v>32</v>
      </c>
      <c r="Y22" s="3" t="s">
        <v>32</v>
      </c>
      <c r="Z22" s="3"/>
      <c r="AA22" s="3"/>
      <c r="AB22" s="1" t="s">
        <v>32</v>
      </c>
    </row>
    <row r="23" spans="1:30" ht="15.75" customHeight="1" x14ac:dyDescent="0.15">
      <c r="A23" s="1" t="s">
        <v>33</v>
      </c>
      <c r="B23" s="1">
        <v>0</v>
      </c>
      <c r="C23" s="1" t="s">
        <v>34</v>
      </c>
      <c r="D23" s="1" t="s">
        <v>33</v>
      </c>
      <c r="E23" s="1">
        <v>0</v>
      </c>
      <c r="F23" s="1" t="s">
        <v>34</v>
      </c>
      <c r="G23" s="1" t="s">
        <v>33</v>
      </c>
      <c r="H23" s="1">
        <v>0</v>
      </c>
      <c r="I23" s="1" t="s">
        <v>34</v>
      </c>
      <c r="J23" s="1" t="s">
        <v>33</v>
      </c>
      <c r="K23" s="1">
        <v>0</v>
      </c>
      <c r="L23" s="1" t="s">
        <v>34</v>
      </c>
      <c r="M23" s="1" t="s">
        <v>33</v>
      </c>
      <c r="N23" s="1">
        <v>0</v>
      </c>
      <c r="O23" s="1" t="s">
        <v>34</v>
      </c>
      <c r="P23" s="1" t="s">
        <v>33</v>
      </c>
      <c r="Q23" s="1">
        <v>0</v>
      </c>
      <c r="R23" s="1" t="s">
        <v>34</v>
      </c>
      <c r="S23" s="1" t="s">
        <v>33</v>
      </c>
      <c r="T23" s="1">
        <v>0</v>
      </c>
      <c r="U23" s="1" t="s">
        <v>34</v>
      </c>
      <c r="V23" s="1" t="s">
        <v>33</v>
      </c>
      <c r="W23" s="1">
        <v>0</v>
      </c>
      <c r="X23" s="1" t="s">
        <v>34</v>
      </c>
      <c r="Y23" s="3" t="s">
        <v>33</v>
      </c>
      <c r="Z23" s="3">
        <v>0</v>
      </c>
      <c r="AA23" s="3" t="s">
        <v>34</v>
      </c>
      <c r="AB23" s="1" t="s">
        <v>33</v>
      </c>
      <c r="AC23" s="1">
        <v>0</v>
      </c>
      <c r="AD23" s="1" t="s">
        <v>34</v>
      </c>
    </row>
    <row r="24" spans="1:30" ht="15.75" customHeight="1" x14ac:dyDescent="0.15">
      <c r="A24" s="1" t="s">
        <v>35</v>
      </c>
      <c r="D24" s="1" t="s">
        <v>35</v>
      </c>
      <c r="G24" s="1" t="s">
        <v>35</v>
      </c>
      <c r="J24" s="1" t="s">
        <v>35</v>
      </c>
      <c r="M24" s="1" t="s">
        <v>35</v>
      </c>
      <c r="P24" s="1" t="s">
        <v>35</v>
      </c>
      <c r="S24" s="1" t="s">
        <v>35</v>
      </c>
      <c r="V24" s="1" t="s">
        <v>35</v>
      </c>
      <c r="Y24" s="3" t="s">
        <v>35</v>
      </c>
      <c r="Z24" s="3"/>
      <c r="AA24" s="3"/>
      <c r="AB24" s="1" t="s">
        <v>35</v>
      </c>
    </row>
    <row r="25" spans="1:30" ht="15.75" customHeight="1" x14ac:dyDescent="0.15">
      <c r="A25" s="1" t="s">
        <v>11</v>
      </c>
      <c r="D25" s="1" t="s">
        <v>11</v>
      </c>
      <c r="G25" s="1" t="s">
        <v>11</v>
      </c>
      <c r="J25" s="1" t="s">
        <v>11</v>
      </c>
      <c r="M25" s="1" t="s">
        <v>11</v>
      </c>
      <c r="P25" s="1" t="s">
        <v>11</v>
      </c>
      <c r="S25" s="1" t="s">
        <v>11</v>
      </c>
      <c r="V25" s="1" t="s">
        <v>11</v>
      </c>
      <c r="Y25" s="3" t="s">
        <v>11</v>
      </c>
      <c r="Z25" s="3"/>
      <c r="AA25" s="3"/>
      <c r="AB25" s="1" t="s">
        <v>11</v>
      </c>
    </row>
    <row r="26" spans="1:30" s="25" customFormat="1" ht="15.75" customHeight="1" x14ac:dyDescent="0.15">
      <c r="A26" s="24" t="s">
        <v>35</v>
      </c>
      <c r="B26" s="24">
        <v>330</v>
      </c>
      <c r="C26" s="24" t="s">
        <v>36</v>
      </c>
      <c r="D26" s="24" t="s">
        <v>35</v>
      </c>
      <c r="E26" s="24">
        <v>278</v>
      </c>
      <c r="F26" s="24" t="s">
        <v>36</v>
      </c>
      <c r="G26" s="24" t="s">
        <v>35</v>
      </c>
      <c r="H26" s="24">
        <v>24</v>
      </c>
      <c r="I26" s="24" t="s">
        <v>36</v>
      </c>
      <c r="J26" s="24" t="s">
        <v>35</v>
      </c>
      <c r="K26" s="24">
        <v>6062</v>
      </c>
      <c r="L26" s="24" t="s">
        <v>37</v>
      </c>
      <c r="M26" s="24" t="s">
        <v>35</v>
      </c>
      <c r="N26" s="24">
        <v>99.662499999999994</v>
      </c>
      <c r="O26" s="24" t="s">
        <v>37</v>
      </c>
      <c r="P26" s="24" t="s">
        <v>35</v>
      </c>
      <c r="Q26" s="24">
        <v>53</v>
      </c>
      <c r="R26" s="24" t="s">
        <v>36</v>
      </c>
      <c r="S26" s="24" t="s">
        <v>35</v>
      </c>
      <c r="T26" s="24">
        <v>38</v>
      </c>
      <c r="U26" s="24" t="s">
        <v>36</v>
      </c>
      <c r="V26" s="24" t="s">
        <v>35</v>
      </c>
      <c r="W26" s="24">
        <v>4863</v>
      </c>
      <c r="X26" s="24" t="s">
        <v>37</v>
      </c>
      <c r="Y26" s="3" t="s">
        <v>35</v>
      </c>
      <c r="Z26" s="3">
        <v>42</v>
      </c>
      <c r="AA26" s="3" t="s">
        <v>36</v>
      </c>
      <c r="AB26" s="24" t="s">
        <v>35</v>
      </c>
      <c r="AC26" s="24">
        <v>424.14339999999999</v>
      </c>
      <c r="AD26" s="24" t="s">
        <v>37</v>
      </c>
    </row>
    <row r="27" spans="1:30" s="25" customFormat="1" ht="15.75" customHeight="1" x14ac:dyDescent="0.15">
      <c r="A27" s="24" t="s">
        <v>38</v>
      </c>
      <c r="B27" s="24">
        <v>39363.138500000001</v>
      </c>
      <c r="C27" s="24" t="s">
        <v>39</v>
      </c>
      <c r="D27" s="24" t="s">
        <v>38</v>
      </c>
      <c r="E27" s="24">
        <v>26263.054800000002</v>
      </c>
      <c r="F27" s="24" t="s">
        <v>39</v>
      </c>
      <c r="G27" s="24" t="s">
        <v>38</v>
      </c>
      <c r="H27" s="24">
        <v>32394.291000000001</v>
      </c>
      <c r="I27" s="24" t="s">
        <v>39</v>
      </c>
      <c r="J27" s="24" t="s">
        <v>38</v>
      </c>
      <c r="K27" s="24">
        <v>3268.9715999999999</v>
      </c>
      <c r="L27" s="24" t="s">
        <v>39</v>
      </c>
      <c r="M27" s="24" t="s">
        <v>38</v>
      </c>
      <c r="N27" s="24">
        <v>108.61490000000001</v>
      </c>
      <c r="O27" s="24" t="s">
        <v>39</v>
      </c>
      <c r="P27" s="24" t="s">
        <v>38</v>
      </c>
      <c r="Q27" s="24">
        <v>14823.5589</v>
      </c>
      <c r="R27" s="24" t="s">
        <v>39</v>
      </c>
      <c r="S27" s="24" t="s">
        <v>38</v>
      </c>
      <c r="T27" s="24">
        <v>405.26499999999999</v>
      </c>
      <c r="U27" s="24" t="s">
        <v>39</v>
      </c>
      <c r="V27" s="24" t="s">
        <v>38</v>
      </c>
      <c r="W27" s="24">
        <v>1151.5275999999999</v>
      </c>
      <c r="X27" s="24" t="s">
        <v>39</v>
      </c>
      <c r="Y27" s="3" t="s">
        <v>38</v>
      </c>
      <c r="Z27" s="3">
        <v>2829.2536</v>
      </c>
      <c r="AA27" s="3" t="s">
        <v>39</v>
      </c>
      <c r="AB27" s="24" t="s">
        <v>38</v>
      </c>
      <c r="AC27" s="24">
        <v>816.79269999999997</v>
      </c>
      <c r="AD27" s="24" t="s">
        <v>39</v>
      </c>
    </row>
    <row r="28" spans="1:30" ht="15.75" customHeight="1" x14ac:dyDescent="0.15">
      <c r="A28" s="1" t="s">
        <v>40</v>
      </c>
      <c r="B28" s="1">
        <v>16461.6407</v>
      </c>
      <c r="C28" s="1" t="s">
        <v>39</v>
      </c>
      <c r="D28" s="1" t="s">
        <v>41</v>
      </c>
      <c r="E28" s="1">
        <v>8982.6286999999993</v>
      </c>
      <c r="F28" s="1" t="s">
        <v>39</v>
      </c>
      <c r="G28" s="1" t="s">
        <v>41</v>
      </c>
      <c r="H28" s="1">
        <v>23142.990300000001</v>
      </c>
      <c r="I28" s="1" t="s">
        <v>39</v>
      </c>
      <c r="J28" s="1" t="s">
        <v>41</v>
      </c>
      <c r="K28" s="1">
        <v>2624.6147999999998</v>
      </c>
      <c r="L28" s="1" t="s">
        <v>39</v>
      </c>
      <c r="M28" s="1" t="s">
        <v>41</v>
      </c>
      <c r="N28" s="1">
        <v>107.193</v>
      </c>
      <c r="O28" s="1" t="s">
        <v>39</v>
      </c>
      <c r="P28" s="1" t="s">
        <v>42</v>
      </c>
      <c r="Q28" s="1">
        <v>8435.3695000000007</v>
      </c>
      <c r="R28" s="1" t="s">
        <v>39</v>
      </c>
      <c r="S28" s="1" t="s">
        <v>43</v>
      </c>
      <c r="T28" s="1">
        <v>390.86430000000001</v>
      </c>
      <c r="U28" s="1" t="s">
        <v>39</v>
      </c>
      <c r="V28" s="1" t="s">
        <v>40</v>
      </c>
      <c r="W28" s="1">
        <v>598.06569999999999</v>
      </c>
      <c r="X28" s="1" t="s">
        <v>39</v>
      </c>
      <c r="Y28" s="3" t="s">
        <v>41</v>
      </c>
      <c r="Z28" s="3">
        <v>2254.3209999999999</v>
      </c>
      <c r="AA28" s="3" t="s">
        <v>39</v>
      </c>
      <c r="AB28" s="1" t="s">
        <v>42</v>
      </c>
      <c r="AC28" s="1">
        <v>741.44240000000002</v>
      </c>
      <c r="AD28" s="1" t="s">
        <v>39</v>
      </c>
    </row>
    <row r="29" spans="1:30" ht="15.75" customHeight="1" x14ac:dyDescent="0.15">
      <c r="A29" s="1" t="s">
        <v>44</v>
      </c>
      <c r="B29" s="1">
        <v>14197.556</v>
      </c>
      <c r="C29" s="1" t="s">
        <v>39</v>
      </c>
      <c r="D29" s="1" t="s">
        <v>40</v>
      </c>
      <c r="E29" s="1">
        <v>7259.3262999999997</v>
      </c>
      <c r="F29" s="1" t="s">
        <v>39</v>
      </c>
      <c r="G29" s="1" t="s">
        <v>42</v>
      </c>
      <c r="H29" s="1">
        <v>8305.6625000000004</v>
      </c>
      <c r="I29" s="1" t="s">
        <v>39</v>
      </c>
      <c r="J29" s="1" t="s">
        <v>40</v>
      </c>
      <c r="K29" s="1">
        <v>320.53820000000002</v>
      </c>
      <c r="L29" s="1" t="s">
        <v>39</v>
      </c>
      <c r="M29" s="1" t="s">
        <v>42</v>
      </c>
      <c r="N29" s="1">
        <v>0.93789999999999996</v>
      </c>
      <c r="O29" s="1" t="s">
        <v>39</v>
      </c>
      <c r="P29" s="1" t="s">
        <v>41</v>
      </c>
      <c r="Q29" s="1">
        <v>5376.1948000000002</v>
      </c>
      <c r="R29" s="1" t="s">
        <v>39</v>
      </c>
      <c r="S29" s="1" t="s">
        <v>40</v>
      </c>
      <c r="T29" s="1">
        <v>7.3285999999999998</v>
      </c>
      <c r="U29" s="1" t="s">
        <v>39</v>
      </c>
      <c r="V29" s="1" t="s">
        <v>44</v>
      </c>
      <c r="W29" s="1">
        <v>515.71349999999995</v>
      </c>
      <c r="X29" s="1" t="s">
        <v>39</v>
      </c>
      <c r="Y29" s="3" t="s">
        <v>42</v>
      </c>
      <c r="Z29" s="3">
        <v>402.01679999999999</v>
      </c>
      <c r="AA29" s="3" t="s">
        <v>39</v>
      </c>
      <c r="AB29" s="1" t="s">
        <v>40</v>
      </c>
      <c r="AC29" s="1">
        <v>38.6877</v>
      </c>
      <c r="AD29" s="1" t="s">
        <v>39</v>
      </c>
    </row>
    <row r="30" spans="1:30" ht="15.75" customHeight="1" x14ac:dyDescent="0.15">
      <c r="A30" s="1" t="s">
        <v>41</v>
      </c>
      <c r="B30" s="1">
        <v>4301.4715999999999</v>
      </c>
      <c r="C30" s="1" t="s">
        <v>39</v>
      </c>
      <c r="D30" s="1" t="s">
        <v>44</v>
      </c>
      <c r="E30" s="1">
        <v>6265.7381999999998</v>
      </c>
      <c r="F30" s="1" t="s">
        <v>39</v>
      </c>
      <c r="G30" s="1" t="s">
        <v>40</v>
      </c>
      <c r="H30" s="1">
        <v>429.34500000000003</v>
      </c>
      <c r="I30" s="1" t="s">
        <v>39</v>
      </c>
      <c r="J30" s="1" t="s">
        <v>44</v>
      </c>
      <c r="K30" s="1">
        <v>276.48020000000002</v>
      </c>
      <c r="L30" s="1" t="s">
        <v>39</v>
      </c>
      <c r="M30" s="1" t="s">
        <v>40</v>
      </c>
      <c r="N30" s="1">
        <v>0.2172</v>
      </c>
      <c r="O30" s="1" t="s">
        <v>39</v>
      </c>
      <c r="P30" s="1" t="s">
        <v>43</v>
      </c>
      <c r="Q30" s="1">
        <v>489.52350000000001</v>
      </c>
      <c r="R30" s="1" t="s">
        <v>39</v>
      </c>
      <c r="S30" s="1" t="s">
        <v>44</v>
      </c>
      <c r="T30" s="1">
        <v>6.3197999999999999</v>
      </c>
      <c r="U30" s="1" t="s">
        <v>39</v>
      </c>
      <c r="V30" s="1" t="s">
        <v>43</v>
      </c>
      <c r="W30" s="1">
        <v>17.960599999999999</v>
      </c>
      <c r="X30" s="1" t="s">
        <v>39</v>
      </c>
      <c r="Y30" s="3" t="s">
        <v>40</v>
      </c>
      <c r="Z30" s="3">
        <v>74.332700000000003</v>
      </c>
      <c r="AA30" s="3" t="s">
        <v>39</v>
      </c>
      <c r="AB30" s="1" t="s">
        <v>44</v>
      </c>
      <c r="AC30" s="1">
        <v>33.360500000000002</v>
      </c>
      <c r="AD30" s="1" t="s">
        <v>39</v>
      </c>
    </row>
    <row r="31" spans="1:30" ht="15.75" customHeight="1" x14ac:dyDescent="0.15">
      <c r="A31" s="1" t="s">
        <v>42</v>
      </c>
      <c r="B31" s="1">
        <v>2569.3508999999999</v>
      </c>
      <c r="C31" s="1" t="s">
        <v>39</v>
      </c>
      <c r="D31" s="1" t="s">
        <v>42</v>
      </c>
      <c r="E31" s="1">
        <v>2825.4762999999998</v>
      </c>
      <c r="F31" s="1" t="s">
        <v>39</v>
      </c>
      <c r="G31" s="1" t="s">
        <v>44</v>
      </c>
      <c r="H31" s="1">
        <v>370.51900000000001</v>
      </c>
      <c r="I31" s="1" t="s">
        <v>39</v>
      </c>
      <c r="J31" s="1" t="s">
        <v>43</v>
      </c>
      <c r="K31" s="1">
        <v>24.8169</v>
      </c>
      <c r="L31" s="1" t="s">
        <v>39</v>
      </c>
      <c r="M31" s="1" t="s">
        <v>44</v>
      </c>
      <c r="N31" s="1">
        <v>0.1908</v>
      </c>
      <c r="O31" s="1" t="s">
        <v>39</v>
      </c>
      <c r="P31" s="1" t="s">
        <v>40</v>
      </c>
      <c r="Q31" s="1">
        <v>280.46429999999998</v>
      </c>
      <c r="R31" s="1" t="s">
        <v>39</v>
      </c>
      <c r="S31" s="1" t="s">
        <v>41</v>
      </c>
      <c r="T31" s="1">
        <v>0.62470000000000003</v>
      </c>
      <c r="U31" s="1" t="s">
        <v>39</v>
      </c>
      <c r="V31" s="1" t="s">
        <v>41</v>
      </c>
      <c r="W31" s="1">
        <v>15.665100000000001</v>
      </c>
      <c r="X31" s="1" t="s">
        <v>39</v>
      </c>
      <c r="Y31" s="3" t="s">
        <v>44</v>
      </c>
      <c r="Z31" s="3">
        <v>65.635099999999994</v>
      </c>
      <c r="AA31" s="3" t="s">
        <v>39</v>
      </c>
      <c r="AB31" s="1" t="s">
        <v>43</v>
      </c>
      <c r="AC31" s="1">
        <v>2.2875999999999999</v>
      </c>
      <c r="AD31" s="1" t="s">
        <v>39</v>
      </c>
    </row>
    <row r="32" spans="1:30" ht="15.75" customHeight="1" x14ac:dyDescent="0.15">
      <c r="A32" s="1" t="s">
        <v>43</v>
      </c>
      <c r="B32" s="1">
        <v>1833.1193000000001</v>
      </c>
      <c r="C32" s="1" t="s">
        <v>39</v>
      </c>
      <c r="D32" s="1" t="s">
        <v>43</v>
      </c>
      <c r="E32" s="1">
        <v>929.88530000000003</v>
      </c>
      <c r="F32" s="1" t="s">
        <v>39</v>
      </c>
      <c r="G32" s="1" t="s">
        <v>43</v>
      </c>
      <c r="H32" s="1">
        <v>145.77420000000001</v>
      </c>
      <c r="I32" s="1" t="s">
        <v>39</v>
      </c>
      <c r="J32" s="1" t="s">
        <v>42</v>
      </c>
      <c r="K32" s="1">
        <v>22.521599999999999</v>
      </c>
      <c r="L32" s="1" t="s">
        <v>39</v>
      </c>
      <c r="M32" s="1" t="s">
        <v>43</v>
      </c>
      <c r="N32" s="1">
        <v>7.5999999999999998E-2</v>
      </c>
      <c r="O32" s="1" t="s">
        <v>39</v>
      </c>
      <c r="P32" s="1" t="s">
        <v>44</v>
      </c>
      <c r="Q32" s="1">
        <v>242.0068</v>
      </c>
      <c r="R32" s="1" t="s">
        <v>39</v>
      </c>
      <c r="S32" s="1" t="s">
        <v>42</v>
      </c>
      <c r="T32" s="1">
        <v>0.12770000000000001</v>
      </c>
      <c r="U32" s="1" t="s">
        <v>39</v>
      </c>
      <c r="V32" s="1" t="s">
        <v>42</v>
      </c>
      <c r="W32" s="1">
        <v>4.1227999999999998</v>
      </c>
      <c r="X32" s="1" t="s">
        <v>39</v>
      </c>
      <c r="Y32" s="3" t="s">
        <v>43</v>
      </c>
      <c r="Z32" s="3">
        <v>32.948</v>
      </c>
      <c r="AA32" s="3" t="s">
        <v>39</v>
      </c>
      <c r="AB32" s="1" t="s">
        <v>41</v>
      </c>
      <c r="AC32" s="1">
        <v>1.0145999999999999</v>
      </c>
      <c r="AD32" s="1" t="s">
        <v>39</v>
      </c>
    </row>
    <row r="33" spans="1:30" ht="15.75" customHeight="1" x14ac:dyDescent="0.15">
      <c r="A33" s="1" t="s">
        <v>45</v>
      </c>
      <c r="B33" s="1">
        <v>51</v>
      </c>
      <c r="C33" s="1" t="s">
        <v>36</v>
      </c>
      <c r="D33" s="1" t="s">
        <v>45</v>
      </c>
      <c r="E33" s="1">
        <v>114</v>
      </c>
      <c r="F33" s="1" t="s">
        <v>36</v>
      </c>
      <c r="G33" s="1" t="s">
        <v>45</v>
      </c>
      <c r="H33" s="1">
        <v>5586</v>
      </c>
      <c r="I33" s="1" t="s">
        <v>37</v>
      </c>
      <c r="J33" s="1" t="s">
        <v>45</v>
      </c>
      <c r="K33" s="1">
        <v>1512</v>
      </c>
      <c r="L33" s="1" t="s">
        <v>37</v>
      </c>
      <c r="M33" s="1" t="s">
        <v>45</v>
      </c>
      <c r="N33" s="1">
        <v>66.383399999999995</v>
      </c>
      <c r="O33" s="1" t="s">
        <v>37</v>
      </c>
      <c r="P33" s="1" t="s">
        <v>45</v>
      </c>
      <c r="Q33" s="1">
        <v>3076</v>
      </c>
      <c r="R33" s="1" t="s">
        <v>37</v>
      </c>
      <c r="S33" s="1" t="s">
        <v>45</v>
      </c>
      <c r="T33" s="1">
        <v>5726.1769000000004</v>
      </c>
      <c r="U33" s="1" t="s">
        <v>46</v>
      </c>
      <c r="V33" s="1" t="s">
        <v>45</v>
      </c>
      <c r="W33" s="1">
        <v>9337.6129999999994</v>
      </c>
      <c r="X33" s="1" t="s">
        <v>46</v>
      </c>
      <c r="Y33" s="3" t="s">
        <v>45</v>
      </c>
      <c r="Z33" s="3">
        <v>29</v>
      </c>
      <c r="AA33" s="3" t="s">
        <v>36</v>
      </c>
      <c r="AB33" s="1" t="s">
        <v>45</v>
      </c>
      <c r="AC33" s="1">
        <v>620.20320000000004</v>
      </c>
      <c r="AD33" s="1" t="s">
        <v>46</v>
      </c>
    </row>
    <row r="34" spans="1:30" ht="15.75" customHeight="1" x14ac:dyDescent="0.15">
      <c r="A34" s="1" t="s">
        <v>47</v>
      </c>
      <c r="B34" s="1">
        <v>1567</v>
      </c>
      <c r="C34" s="1" t="s">
        <v>37</v>
      </c>
      <c r="D34" s="1" t="s">
        <v>47</v>
      </c>
      <c r="E34" s="1">
        <v>3546</v>
      </c>
      <c r="F34" s="1" t="s">
        <v>37</v>
      </c>
      <c r="G34" s="1" t="s">
        <v>47</v>
      </c>
      <c r="H34" s="1">
        <v>173.53829999999999</v>
      </c>
      <c r="I34" s="1" t="s">
        <v>37</v>
      </c>
      <c r="J34" s="1" t="s">
        <v>47</v>
      </c>
      <c r="K34" s="1">
        <v>46.988599999999998</v>
      </c>
      <c r="L34" s="1" t="s">
        <v>37</v>
      </c>
      <c r="M34" s="1" t="s">
        <v>47</v>
      </c>
      <c r="N34" s="1">
        <v>2062.3202000000001</v>
      </c>
      <c r="O34" s="1" t="s">
        <v>46</v>
      </c>
      <c r="P34" s="1" t="s">
        <v>47</v>
      </c>
      <c r="Q34" s="1">
        <v>95.557500000000005</v>
      </c>
      <c r="R34" s="1" t="s">
        <v>37</v>
      </c>
      <c r="S34" s="1" t="s">
        <v>47</v>
      </c>
      <c r="T34" s="1">
        <v>177.90600000000001</v>
      </c>
      <c r="U34" s="1" t="s">
        <v>46</v>
      </c>
      <c r="V34" s="1" t="s">
        <v>47</v>
      </c>
      <c r="W34" s="1">
        <v>290.10919999999999</v>
      </c>
      <c r="X34" s="1" t="s">
        <v>46</v>
      </c>
      <c r="Y34" s="3" t="s">
        <v>47</v>
      </c>
      <c r="Z34" s="3">
        <v>907.61239999999998</v>
      </c>
      <c r="AA34" s="3" t="s">
        <v>37</v>
      </c>
      <c r="AB34" s="1" t="s">
        <v>47</v>
      </c>
      <c r="AC34" s="1">
        <v>19.268999999999998</v>
      </c>
      <c r="AD34" s="1" t="s">
        <v>46</v>
      </c>
    </row>
    <row r="35" spans="1:30" ht="15.75" customHeight="1" x14ac:dyDescent="0.15">
      <c r="A35" s="1" t="s">
        <v>48</v>
      </c>
      <c r="B35" s="1">
        <v>309.91149999999999</v>
      </c>
      <c r="C35" s="1" t="s">
        <v>37</v>
      </c>
      <c r="D35" s="1" t="s">
        <v>48</v>
      </c>
      <c r="E35" s="1">
        <v>98.489099999999993</v>
      </c>
      <c r="F35" s="1" t="s">
        <v>37</v>
      </c>
      <c r="G35" s="1" t="s">
        <v>48</v>
      </c>
      <c r="H35" s="1">
        <v>6309.1922000000004</v>
      </c>
      <c r="I35" s="1" t="s">
        <v>46</v>
      </c>
      <c r="J35" s="1" t="s">
        <v>48</v>
      </c>
      <c r="K35" s="1">
        <v>5814.3611000000001</v>
      </c>
      <c r="L35" s="1" t="s">
        <v>46</v>
      </c>
      <c r="M35" s="1" t="s">
        <v>48</v>
      </c>
      <c r="N35" s="1">
        <v>4019.6170000000002</v>
      </c>
      <c r="O35" s="1" t="s">
        <v>46</v>
      </c>
      <c r="P35" s="1" t="s">
        <v>48</v>
      </c>
      <c r="Q35" s="1">
        <v>4359.4674000000005</v>
      </c>
      <c r="R35" s="1" t="s">
        <v>46</v>
      </c>
      <c r="S35" s="1" t="s">
        <v>48</v>
      </c>
      <c r="T35" s="1">
        <v>144.9229</v>
      </c>
      <c r="U35" s="1" t="s">
        <v>46</v>
      </c>
      <c r="V35" s="1" t="s">
        <v>48</v>
      </c>
      <c r="W35" s="1">
        <v>12.0169</v>
      </c>
      <c r="X35" s="1" t="s">
        <v>37</v>
      </c>
      <c r="Y35" s="3" t="s">
        <v>48</v>
      </c>
      <c r="Z35" s="3">
        <v>-10.6419</v>
      </c>
      <c r="AA35" s="3" t="s">
        <v>37</v>
      </c>
      <c r="AB35" s="1" t="s">
        <v>48</v>
      </c>
      <c r="AC35" s="1">
        <v>777.34569999999997</v>
      </c>
      <c r="AD35" s="1" t="s">
        <v>46</v>
      </c>
    </row>
    <row r="36" spans="1:30" ht="15.75" customHeight="1" x14ac:dyDescent="0.15">
      <c r="A36" s="1" t="s">
        <v>49</v>
      </c>
      <c r="B36" s="1">
        <v>2816</v>
      </c>
      <c r="C36" s="1" t="s">
        <v>37</v>
      </c>
      <c r="D36" s="1" t="s">
        <v>49</v>
      </c>
      <c r="E36" s="1">
        <v>1244</v>
      </c>
      <c r="F36" s="1" t="s">
        <v>37</v>
      </c>
      <c r="G36" s="1" t="s">
        <v>49</v>
      </c>
      <c r="H36" s="1">
        <v>73.546000000000006</v>
      </c>
      <c r="I36" s="1" t="s">
        <v>37</v>
      </c>
      <c r="J36" s="1" t="s">
        <v>49</v>
      </c>
      <c r="K36" s="1">
        <v>54.844000000000001</v>
      </c>
      <c r="L36" s="1" t="s">
        <v>37</v>
      </c>
      <c r="M36" s="1" t="s">
        <v>49</v>
      </c>
      <c r="N36" s="1">
        <v>38.728999999999999</v>
      </c>
      <c r="O36" s="1" t="s">
        <v>46</v>
      </c>
      <c r="P36" s="1" t="s">
        <v>49</v>
      </c>
      <c r="Q36" s="1">
        <v>48.029299999999999</v>
      </c>
      <c r="R36" s="1" t="s">
        <v>37</v>
      </c>
      <c r="S36" s="1" t="s">
        <v>49</v>
      </c>
      <c r="T36" s="1">
        <v>1253.2360000000001</v>
      </c>
      <c r="U36" s="1" t="s">
        <v>46</v>
      </c>
      <c r="V36" s="1" t="s">
        <v>49</v>
      </c>
      <c r="W36" s="1">
        <v>102.2617</v>
      </c>
      <c r="X36" s="1" t="s">
        <v>37</v>
      </c>
      <c r="Y36" s="3" t="s">
        <v>49</v>
      </c>
      <c r="Z36" s="3">
        <v>13.4086</v>
      </c>
      <c r="AA36" s="3" t="s">
        <v>37</v>
      </c>
      <c r="AB36" s="1" t="s">
        <v>49</v>
      </c>
      <c r="AC36" s="1">
        <v>6615.1035000000002</v>
      </c>
      <c r="AD36" s="1" t="s">
        <v>46</v>
      </c>
    </row>
    <row r="37" spans="1:30" ht="15.75" customHeight="1" x14ac:dyDescent="0.15">
      <c r="A37" s="1" t="s">
        <v>50</v>
      </c>
      <c r="B37" s="1">
        <v>65.113200000000006</v>
      </c>
      <c r="C37" s="1" t="s">
        <v>37</v>
      </c>
      <c r="D37" s="1" t="s">
        <v>50</v>
      </c>
      <c r="E37" s="1">
        <v>147.31620000000001</v>
      </c>
      <c r="F37" s="1" t="s">
        <v>37</v>
      </c>
      <c r="G37" s="1" t="s">
        <v>50</v>
      </c>
      <c r="H37" s="1">
        <v>7208.7497999999996</v>
      </c>
      <c r="I37" s="1" t="s">
        <v>46</v>
      </c>
      <c r="J37" s="1" t="s">
        <v>50</v>
      </c>
      <c r="K37" s="1">
        <v>1951.8975</v>
      </c>
      <c r="L37" s="1" t="s">
        <v>46</v>
      </c>
      <c r="M37" s="1" t="s">
        <v>50</v>
      </c>
      <c r="N37" s="1">
        <v>85.668400000000005</v>
      </c>
      <c r="O37" s="1" t="s">
        <v>46</v>
      </c>
      <c r="P37" s="1" t="s">
        <v>50</v>
      </c>
      <c r="Q37" s="1">
        <v>3969.4416999999999</v>
      </c>
      <c r="R37" s="1" t="s">
        <v>46</v>
      </c>
      <c r="S37" s="1" t="s">
        <v>50</v>
      </c>
      <c r="T37" s="1">
        <v>7.3902000000000001</v>
      </c>
      <c r="U37" s="1" t="s">
        <v>46</v>
      </c>
      <c r="V37" s="1" t="s">
        <v>50</v>
      </c>
      <c r="W37" s="1">
        <v>12.0511</v>
      </c>
      <c r="X37" s="1" t="s">
        <v>46</v>
      </c>
      <c r="Y37" s="3" t="s">
        <v>50</v>
      </c>
      <c r="Z37" s="3">
        <v>37.702100000000002</v>
      </c>
      <c r="AA37" s="3" t="s">
        <v>37</v>
      </c>
      <c r="AB37" s="1" t="s">
        <v>50</v>
      </c>
      <c r="AC37" s="1">
        <v>0.8004</v>
      </c>
      <c r="AD37" s="1" t="s">
        <v>46</v>
      </c>
    </row>
    <row r="38" spans="1:30" ht="15.75" customHeight="1" x14ac:dyDescent="0.15">
      <c r="A38" s="1" t="s">
        <v>51</v>
      </c>
      <c r="B38" s="1">
        <v>452.91120000000001</v>
      </c>
      <c r="C38" s="1" t="s">
        <v>37</v>
      </c>
      <c r="D38" s="1" t="s">
        <v>51</v>
      </c>
      <c r="E38" s="1">
        <v>200.08029999999999</v>
      </c>
      <c r="F38" s="1" t="s">
        <v>37</v>
      </c>
      <c r="G38" s="1" t="s">
        <v>51</v>
      </c>
      <c r="H38" s="1">
        <v>11.8291</v>
      </c>
      <c r="I38" s="1" t="s">
        <v>37</v>
      </c>
      <c r="J38" s="1" t="s">
        <v>51</v>
      </c>
      <c r="K38" s="1">
        <v>8821.0465000000004</v>
      </c>
      <c r="L38" s="1" t="s">
        <v>46</v>
      </c>
      <c r="M38" s="1" t="s">
        <v>51</v>
      </c>
      <c r="N38" s="1">
        <v>6.2290999999999999</v>
      </c>
      <c r="O38" s="1" t="s">
        <v>46</v>
      </c>
      <c r="P38" s="1" t="s">
        <v>51</v>
      </c>
      <c r="Q38" s="1">
        <v>7724.9762000000001</v>
      </c>
      <c r="R38" s="1" t="s">
        <v>46</v>
      </c>
      <c r="S38" s="1" t="s">
        <v>51</v>
      </c>
      <c r="T38" s="1">
        <v>201.56899999999999</v>
      </c>
      <c r="U38" s="1" t="s">
        <v>46</v>
      </c>
      <c r="V38" s="1" t="s">
        <v>51</v>
      </c>
      <c r="W38" s="1">
        <v>16.447600000000001</v>
      </c>
      <c r="X38" s="1" t="s">
        <v>37</v>
      </c>
      <c r="Y38" s="3" t="s">
        <v>51</v>
      </c>
      <c r="Z38" s="3">
        <v>2156.6279</v>
      </c>
      <c r="AA38" s="3" t="s">
        <v>46</v>
      </c>
      <c r="AB38" s="1" t="s">
        <v>51</v>
      </c>
      <c r="AC38" s="1">
        <v>1063.9654</v>
      </c>
      <c r="AD38" s="1" t="s">
        <v>46</v>
      </c>
    </row>
    <row r="39" spans="1:30" ht="15.75" customHeight="1" x14ac:dyDescent="0.15">
      <c r="A39" s="1" t="s">
        <v>52</v>
      </c>
      <c r="B39" s="1">
        <v>3551</v>
      </c>
      <c r="C39" s="1" t="s">
        <v>37</v>
      </c>
      <c r="D39" s="1" t="s">
        <v>52</v>
      </c>
      <c r="E39" s="1">
        <v>1566</v>
      </c>
      <c r="F39" s="1" t="s">
        <v>37</v>
      </c>
      <c r="G39" s="1" t="s">
        <v>52</v>
      </c>
      <c r="H39" s="1">
        <v>92.613500000000002</v>
      </c>
      <c r="I39" s="1" t="s">
        <v>37</v>
      </c>
      <c r="J39" s="1" t="s">
        <v>52</v>
      </c>
      <c r="K39" s="1">
        <v>69.142899999999997</v>
      </c>
      <c r="L39" s="1" t="s">
        <v>37</v>
      </c>
      <c r="M39" s="1" t="s">
        <v>52</v>
      </c>
      <c r="N39" s="1">
        <v>46.855800000000002</v>
      </c>
      <c r="O39" s="1" t="s">
        <v>46</v>
      </c>
      <c r="P39" s="1" t="s">
        <v>52</v>
      </c>
      <c r="Q39" s="1">
        <v>60.498600000000003</v>
      </c>
      <c r="R39" s="1" t="s">
        <v>37</v>
      </c>
      <c r="S39" s="1" t="s">
        <v>52</v>
      </c>
      <c r="T39" s="1">
        <v>1580.8485000000001</v>
      </c>
      <c r="U39" s="1" t="s">
        <v>46</v>
      </c>
      <c r="V39" s="1" t="s">
        <v>52</v>
      </c>
      <c r="W39" s="1">
        <v>129.00800000000001</v>
      </c>
      <c r="X39" s="1" t="s">
        <v>37</v>
      </c>
      <c r="Y39" s="3" t="s">
        <v>52</v>
      </c>
      <c r="Z39" s="3">
        <v>16.034199999999998</v>
      </c>
      <c r="AA39" s="3" t="s">
        <v>37</v>
      </c>
      <c r="AB39" s="1" t="s">
        <v>52</v>
      </c>
      <c r="AC39" s="1">
        <v>8345.2723000000005</v>
      </c>
      <c r="AD39" s="1" t="s">
        <v>46</v>
      </c>
    </row>
    <row r="40" spans="1:30" ht="15.75" customHeight="1" x14ac:dyDescent="0.15">
      <c r="A40" s="1" t="s">
        <v>53</v>
      </c>
      <c r="B40" s="1">
        <v>12</v>
      </c>
      <c r="C40" s="1" t="s">
        <v>36</v>
      </c>
      <c r="D40" s="1" t="s">
        <v>53</v>
      </c>
      <c r="E40" s="1">
        <v>5312</v>
      </c>
      <c r="F40" s="1" t="s">
        <v>37</v>
      </c>
      <c r="G40" s="1" t="s">
        <v>53</v>
      </c>
      <c r="H40" s="1">
        <v>314.07459999999998</v>
      </c>
      <c r="I40" s="1" t="s">
        <v>37</v>
      </c>
      <c r="J40" s="1" t="s">
        <v>53</v>
      </c>
      <c r="K40" s="1">
        <v>234.20869999999999</v>
      </c>
      <c r="L40" s="1" t="s">
        <v>37</v>
      </c>
      <c r="M40" s="1" t="s">
        <v>53</v>
      </c>
      <c r="N40" s="1">
        <v>165.3905</v>
      </c>
      <c r="O40" s="1" t="s">
        <v>46</v>
      </c>
      <c r="P40" s="1" t="s">
        <v>53</v>
      </c>
      <c r="Q40" s="1">
        <v>205.10679999999999</v>
      </c>
      <c r="R40" s="1" t="s">
        <v>37</v>
      </c>
      <c r="S40" s="1" t="s">
        <v>53</v>
      </c>
      <c r="T40" s="1">
        <v>5351.8828999999996</v>
      </c>
      <c r="U40" s="1" t="s">
        <v>46</v>
      </c>
      <c r="V40" s="1" t="s">
        <v>53</v>
      </c>
      <c r="W40" s="1">
        <v>436.70339999999999</v>
      </c>
      <c r="X40" s="1" t="s">
        <v>37</v>
      </c>
      <c r="Y40" s="3" t="s">
        <v>53</v>
      </c>
      <c r="Z40" s="3">
        <v>57.260899999999999</v>
      </c>
      <c r="AA40" s="3" t="s">
        <v>37</v>
      </c>
      <c r="AB40" s="1" t="s">
        <v>53</v>
      </c>
      <c r="AC40" s="1">
        <v>28.249500000000001</v>
      </c>
      <c r="AD40" s="1" t="s">
        <v>37</v>
      </c>
    </row>
    <row r="41" spans="1:30" ht="15.75" customHeight="1" x14ac:dyDescent="0.15">
      <c r="A41" s="1" t="s">
        <v>54</v>
      </c>
      <c r="B41" s="1">
        <v>879.83879999999999</v>
      </c>
      <c r="C41" s="1" t="s">
        <v>37</v>
      </c>
      <c r="D41" s="1" t="s">
        <v>54</v>
      </c>
      <c r="E41" s="1">
        <v>388.68189999999998</v>
      </c>
      <c r="F41" s="1" t="s">
        <v>37</v>
      </c>
      <c r="G41" s="1" t="s">
        <v>54</v>
      </c>
      <c r="H41" s="1">
        <v>22.979500000000002</v>
      </c>
      <c r="I41" s="1" t="s">
        <v>37</v>
      </c>
      <c r="J41" s="1" t="s">
        <v>54</v>
      </c>
      <c r="K41" s="1">
        <v>17.135999999999999</v>
      </c>
      <c r="L41" s="1" t="s">
        <v>37</v>
      </c>
      <c r="M41" s="1" t="s">
        <v>54</v>
      </c>
      <c r="N41" s="1">
        <v>12.100899999999999</v>
      </c>
      <c r="O41" s="1" t="s">
        <v>46</v>
      </c>
      <c r="P41" s="1" t="s">
        <v>54</v>
      </c>
      <c r="Q41" s="1">
        <v>15.0068</v>
      </c>
      <c r="R41" s="1" t="s">
        <v>37</v>
      </c>
      <c r="S41" s="1" t="s">
        <v>54</v>
      </c>
      <c r="T41" s="1">
        <v>391.57389999999998</v>
      </c>
      <c r="U41" s="1" t="s">
        <v>46</v>
      </c>
      <c r="V41" s="1" t="s">
        <v>54</v>
      </c>
      <c r="W41" s="1">
        <v>31.951699999999999</v>
      </c>
      <c r="X41" s="1" t="s">
        <v>37</v>
      </c>
      <c r="Y41" s="3" t="s">
        <v>54</v>
      </c>
      <c r="Z41" s="3">
        <v>4189.5290999999997</v>
      </c>
      <c r="AA41" s="3" t="s">
        <v>46</v>
      </c>
      <c r="AB41" s="1" t="s">
        <v>54</v>
      </c>
      <c r="AC41" s="1">
        <v>2066.8906000000002</v>
      </c>
      <c r="AD41" s="1" t="s">
        <v>46</v>
      </c>
    </row>
    <row r="42" spans="1:30" ht="15.75" customHeight="1" x14ac:dyDescent="0.15">
      <c r="A42" s="1" t="s">
        <v>55</v>
      </c>
      <c r="B42" s="1">
        <v>33</v>
      </c>
      <c r="C42" s="1" t="s">
        <v>36</v>
      </c>
      <c r="D42" s="1" t="s">
        <v>55</v>
      </c>
      <c r="E42" s="1">
        <v>14</v>
      </c>
      <c r="F42" s="1" t="s">
        <v>36</v>
      </c>
      <c r="G42" s="1" t="s">
        <v>55</v>
      </c>
      <c r="H42" s="1">
        <v>848.84739999999999</v>
      </c>
      <c r="I42" s="1" t="s">
        <v>37</v>
      </c>
      <c r="J42" s="1" t="s">
        <v>55</v>
      </c>
      <c r="K42" s="1">
        <v>632.99440000000004</v>
      </c>
      <c r="L42" s="1" t="s">
        <v>37</v>
      </c>
      <c r="M42" s="1" t="s">
        <v>55</v>
      </c>
      <c r="N42" s="1">
        <v>446.99990000000003</v>
      </c>
      <c r="O42" s="1" t="s">
        <v>46</v>
      </c>
      <c r="P42" s="1" t="s">
        <v>55</v>
      </c>
      <c r="Q42" s="1">
        <v>554.34090000000003</v>
      </c>
      <c r="R42" s="1" t="s">
        <v>37</v>
      </c>
      <c r="S42" s="1" t="s">
        <v>55</v>
      </c>
      <c r="T42" s="1">
        <v>14.464499999999999</v>
      </c>
      <c r="U42" s="1" t="s">
        <v>37</v>
      </c>
      <c r="V42" s="1" t="s">
        <v>55</v>
      </c>
      <c r="W42" s="1">
        <v>1180</v>
      </c>
      <c r="X42" s="1" t="s">
        <v>37</v>
      </c>
      <c r="Y42" s="3" t="s">
        <v>55</v>
      </c>
      <c r="Z42" s="3">
        <v>154.7587</v>
      </c>
      <c r="AA42" s="3" t="s">
        <v>37</v>
      </c>
      <c r="AB42" s="1" t="s">
        <v>55</v>
      </c>
      <c r="AC42" s="1">
        <v>76.349699999999999</v>
      </c>
      <c r="AD42" s="1" t="s">
        <v>37</v>
      </c>
    </row>
    <row r="43" spans="1:30" ht="15.75" customHeight="1" x14ac:dyDescent="0.15">
      <c r="A43" s="1" t="s">
        <v>56</v>
      </c>
      <c r="B43" s="1">
        <v>33</v>
      </c>
      <c r="C43" s="1" t="s">
        <v>36</v>
      </c>
      <c r="D43" s="1" t="s">
        <v>56</v>
      </c>
      <c r="E43" s="1">
        <v>15</v>
      </c>
      <c r="F43" s="1" t="s">
        <v>36</v>
      </c>
      <c r="G43" s="1" t="s">
        <v>56</v>
      </c>
      <c r="H43" s="1">
        <v>858.78390000000002</v>
      </c>
      <c r="I43" s="1" t="s">
        <v>37</v>
      </c>
      <c r="J43" s="1" t="s">
        <v>56</v>
      </c>
      <c r="K43" s="1">
        <v>640.40409999999997</v>
      </c>
      <c r="L43" s="1" t="s">
        <v>37</v>
      </c>
      <c r="M43" s="1" t="s">
        <v>56</v>
      </c>
      <c r="N43" s="1">
        <v>452.23239999999998</v>
      </c>
      <c r="O43" s="1" t="s">
        <v>46</v>
      </c>
      <c r="P43" s="1" t="s">
        <v>56</v>
      </c>
      <c r="Q43" s="1">
        <v>560.82989999999995</v>
      </c>
      <c r="R43" s="1" t="s">
        <v>37</v>
      </c>
      <c r="S43" s="1" t="s">
        <v>56</v>
      </c>
      <c r="T43" s="1">
        <v>14.633800000000001</v>
      </c>
      <c r="U43" s="1" t="s">
        <v>37</v>
      </c>
      <c r="V43" s="1" t="s">
        <v>56</v>
      </c>
      <c r="W43" s="1">
        <v>1194</v>
      </c>
      <c r="X43" s="1" t="s">
        <v>37</v>
      </c>
      <c r="Y43" s="3" t="s">
        <v>56</v>
      </c>
      <c r="Z43" s="3">
        <v>156.5702</v>
      </c>
      <c r="AA43" s="3" t="s">
        <v>37</v>
      </c>
      <c r="AB43" s="1" t="s">
        <v>56</v>
      </c>
      <c r="AC43" s="1">
        <v>77.243399999999994</v>
      </c>
      <c r="AD43" s="1" t="s">
        <v>37</v>
      </c>
    </row>
    <row r="44" spans="1:30" ht="15.75" customHeight="1" x14ac:dyDescent="0.15">
      <c r="A44" s="1" t="s">
        <v>57</v>
      </c>
      <c r="B44" s="1">
        <v>14.199400000000001</v>
      </c>
      <c r="C44" s="1" t="s">
        <v>18</v>
      </c>
      <c r="D44" s="1" t="s">
        <v>57</v>
      </c>
      <c r="E44" s="1">
        <v>6.2728000000000002</v>
      </c>
      <c r="F44" s="1" t="s">
        <v>18</v>
      </c>
      <c r="G44" s="1" t="s">
        <v>57</v>
      </c>
      <c r="H44" s="1">
        <v>0.37090000000000001</v>
      </c>
      <c r="I44" s="1" t="s">
        <v>18</v>
      </c>
      <c r="J44" s="1" t="s">
        <v>57</v>
      </c>
      <c r="K44" s="1">
        <v>0.27660000000000001</v>
      </c>
      <c r="L44" s="1" t="s">
        <v>18</v>
      </c>
      <c r="M44" s="1" t="s">
        <v>57</v>
      </c>
      <c r="N44" s="1">
        <v>0.1953</v>
      </c>
      <c r="O44" s="1" t="s">
        <v>27</v>
      </c>
      <c r="P44" s="1" t="s">
        <v>57</v>
      </c>
      <c r="Q44" s="1">
        <v>0.2422</v>
      </c>
      <c r="R44" s="1" t="s">
        <v>18</v>
      </c>
      <c r="S44" s="1" t="s">
        <v>57</v>
      </c>
      <c r="T44" s="1">
        <v>6.3194999999999997</v>
      </c>
      <c r="U44" s="1" t="s">
        <v>27</v>
      </c>
      <c r="V44" s="1" t="s">
        <v>57</v>
      </c>
      <c r="W44" s="1">
        <v>0.51570000000000005</v>
      </c>
      <c r="X44" s="1" t="s">
        <v>18</v>
      </c>
      <c r="Y44" s="3" t="s">
        <v>57</v>
      </c>
      <c r="Z44" s="3">
        <v>67.613399999999999</v>
      </c>
      <c r="AA44" s="3" t="s">
        <v>27</v>
      </c>
      <c r="AB44" s="1" t="s">
        <v>57</v>
      </c>
      <c r="AC44" s="1">
        <v>33.3568</v>
      </c>
      <c r="AD44" s="1" t="s">
        <v>27</v>
      </c>
    </row>
    <row r="45" spans="1:30" ht="15.75" customHeight="1" x14ac:dyDescent="0.15">
      <c r="A45" s="1" t="s">
        <v>58</v>
      </c>
      <c r="B45" s="1">
        <v>42.229799999999997</v>
      </c>
      <c r="C45" s="1" t="s">
        <v>18</v>
      </c>
      <c r="D45" s="1" t="s">
        <v>58</v>
      </c>
      <c r="E45" s="1">
        <v>18.6557</v>
      </c>
      <c r="F45" s="1" t="s">
        <v>18</v>
      </c>
      <c r="G45" s="1" t="s">
        <v>58</v>
      </c>
      <c r="H45" s="1">
        <v>1.103</v>
      </c>
      <c r="I45" s="1" t="s">
        <v>18</v>
      </c>
      <c r="J45" s="1" t="s">
        <v>58</v>
      </c>
      <c r="K45" s="1">
        <v>0.82250000000000001</v>
      </c>
      <c r="L45" s="1" t="s">
        <v>18</v>
      </c>
      <c r="M45" s="1" t="s">
        <v>58</v>
      </c>
      <c r="N45" s="1">
        <v>0.58079999999999998</v>
      </c>
      <c r="O45" s="1" t="s">
        <v>27</v>
      </c>
      <c r="P45" s="1" t="s">
        <v>58</v>
      </c>
      <c r="Q45" s="1">
        <v>0.72030000000000005</v>
      </c>
      <c r="R45" s="1" t="s">
        <v>18</v>
      </c>
      <c r="S45" s="1" t="s">
        <v>58</v>
      </c>
      <c r="T45" s="1">
        <v>18.794499999999999</v>
      </c>
      <c r="U45" s="1" t="s">
        <v>27</v>
      </c>
      <c r="V45" s="1" t="s">
        <v>58</v>
      </c>
      <c r="W45" s="1">
        <v>1.5336000000000001</v>
      </c>
      <c r="X45" s="1" t="s">
        <v>18</v>
      </c>
      <c r="Y45" s="3" t="s">
        <v>58</v>
      </c>
      <c r="Z45" s="3">
        <v>0.2011</v>
      </c>
      <c r="AA45" s="3" t="s">
        <v>18</v>
      </c>
      <c r="AB45" s="1" t="s">
        <v>58</v>
      </c>
      <c r="AC45" s="1">
        <v>99.204999999999998</v>
      </c>
      <c r="AD45" s="1" t="s">
        <v>27</v>
      </c>
    </row>
    <row r="46" spans="1:30" ht="15.75" customHeight="1" x14ac:dyDescent="0.15">
      <c r="A46" s="1" t="s">
        <v>59</v>
      </c>
      <c r="B46" s="1">
        <v>5390</v>
      </c>
      <c r="C46" s="1" t="s">
        <v>37</v>
      </c>
      <c r="D46" s="1" t="s">
        <v>59</v>
      </c>
      <c r="E46" s="1">
        <v>12</v>
      </c>
      <c r="F46" s="1" t="s">
        <v>36</v>
      </c>
      <c r="G46" s="1" t="s">
        <v>59</v>
      </c>
      <c r="H46" s="1">
        <v>596.68439999999998</v>
      </c>
      <c r="I46" s="1" t="s">
        <v>37</v>
      </c>
      <c r="J46" s="1" t="s">
        <v>59</v>
      </c>
      <c r="K46" s="1">
        <v>161.56290000000001</v>
      </c>
      <c r="L46" s="1" t="s">
        <v>37</v>
      </c>
      <c r="M46" s="1" t="s">
        <v>59</v>
      </c>
      <c r="N46" s="1">
        <v>7090.9679999999998</v>
      </c>
      <c r="O46" s="1" t="s">
        <v>46</v>
      </c>
      <c r="P46" s="1" t="s">
        <v>59</v>
      </c>
      <c r="Q46" s="1">
        <v>328.55959999999999</v>
      </c>
      <c r="R46" s="1" t="s">
        <v>37</v>
      </c>
      <c r="S46" s="1" t="s">
        <v>59</v>
      </c>
      <c r="T46" s="1">
        <v>611.702</v>
      </c>
      <c r="U46" s="1" t="s">
        <v>46</v>
      </c>
      <c r="V46" s="1" t="s">
        <v>59</v>
      </c>
      <c r="W46" s="1">
        <v>997.49530000000004</v>
      </c>
      <c r="X46" s="1" t="s">
        <v>46</v>
      </c>
      <c r="Y46" s="3" t="s">
        <v>59</v>
      </c>
      <c r="Z46" s="3">
        <v>3121</v>
      </c>
      <c r="AA46" s="3" t="s">
        <v>37</v>
      </c>
      <c r="AB46" s="1" t="s">
        <v>59</v>
      </c>
      <c r="AC46" s="1">
        <v>66.253500000000003</v>
      </c>
      <c r="AD46" s="1" t="s">
        <v>46</v>
      </c>
    </row>
    <row r="47" spans="1:30" ht="15.75" customHeight="1" x14ac:dyDescent="0.15">
      <c r="A47" s="1" t="s">
        <v>60</v>
      </c>
      <c r="B47" s="1">
        <v>3991</v>
      </c>
      <c r="C47" s="1" t="s">
        <v>37</v>
      </c>
      <c r="D47" s="1" t="s">
        <v>60</v>
      </c>
      <c r="E47" s="1">
        <v>9030</v>
      </c>
      <c r="F47" s="1" t="s">
        <v>37</v>
      </c>
      <c r="G47" s="1" t="s">
        <v>60</v>
      </c>
      <c r="H47" s="1">
        <v>441.85680000000002</v>
      </c>
      <c r="I47" s="1" t="s">
        <v>37</v>
      </c>
      <c r="J47" s="1" t="s">
        <v>60</v>
      </c>
      <c r="K47" s="1">
        <v>119.64060000000001</v>
      </c>
      <c r="L47" s="1" t="s">
        <v>37</v>
      </c>
      <c r="M47" s="1" t="s">
        <v>60</v>
      </c>
      <c r="N47" s="1">
        <v>5251.0038999999997</v>
      </c>
      <c r="O47" s="1" t="s">
        <v>46</v>
      </c>
      <c r="P47" s="1" t="s">
        <v>60</v>
      </c>
      <c r="Q47" s="1">
        <v>243.30500000000001</v>
      </c>
      <c r="R47" s="1" t="s">
        <v>37</v>
      </c>
      <c r="S47" s="1" t="s">
        <v>60</v>
      </c>
      <c r="T47" s="1">
        <v>452.9776</v>
      </c>
      <c r="U47" s="1" t="s">
        <v>46</v>
      </c>
      <c r="V47" s="1" t="s">
        <v>60</v>
      </c>
      <c r="W47" s="1">
        <v>738.6653</v>
      </c>
      <c r="X47" s="1" t="s">
        <v>46</v>
      </c>
      <c r="Y47" s="3" t="s">
        <v>60</v>
      </c>
      <c r="Z47" s="3">
        <v>2311</v>
      </c>
      <c r="AA47" s="3" t="s">
        <v>37</v>
      </c>
      <c r="AB47" s="1" t="s">
        <v>60</v>
      </c>
      <c r="AC47" s="1">
        <v>49.062100000000001</v>
      </c>
      <c r="AD47" s="1" t="s">
        <v>46</v>
      </c>
    </row>
    <row r="48" spans="1:30" ht="15.75" customHeight="1" x14ac:dyDescent="0.15">
      <c r="A48" s="1" t="s">
        <v>61</v>
      </c>
      <c r="B48" s="1">
        <v>4718</v>
      </c>
      <c r="C48" s="1" t="s">
        <v>37</v>
      </c>
      <c r="D48" s="1" t="s">
        <v>61</v>
      </c>
      <c r="E48" s="1">
        <v>11</v>
      </c>
      <c r="F48" s="1" t="s">
        <v>36</v>
      </c>
      <c r="G48" s="1" t="s">
        <v>61</v>
      </c>
      <c r="H48" s="1">
        <v>522.32000000000005</v>
      </c>
      <c r="I48" s="1" t="s">
        <v>37</v>
      </c>
      <c r="J48" s="1" t="s">
        <v>61</v>
      </c>
      <c r="K48" s="1">
        <v>141.42750000000001</v>
      </c>
      <c r="L48" s="1" t="s">
        <v>37</v>
      </c>
      <c r="M48" s="1" t="s">
        <v>61</v>
      </c>
      <c r="N48" s="1">
        <v>6207.2250999999997</v>
      </c>
      <c r="O48" s="1" t="s">
        <v>46</v>
      </c>
      <c r="P48" s="1" t="s">
        <v>61</v>
      </c>
      <c r="Q48" s="1">
        <v>287.6114</v>
      </c>
      <c r="R48" s="1" t="s">
        <v>37</v>
      </c>
      <c r="S48" s="1" t="s">
        <v>61</v>
      </c>
      <c r="T48" s="1">
        <v>535.46600000000001</v>
      </c>
      <c r="U48" s="1" t="s">
        <v>46</v>
      </c>
      <c r="V48" s="1" t="s">
        <v>61</v>
      </c>
      <c r="W48" s="1">
        <v>873.17809999999997</v>
      </c>
      <c r="X48" s="1" t="s">
        <v>46</v>
      </c>
      <c r="Y48" s="3" t="s">
        <v>61</v>
      </c>
      <c r="Z48" s="3">
        <v>2732</v>
      </c>
      <c r="AA48" s="3" t="s">
        <v>37</v>
      </c>
      <c r="AB48" s="1" t="s">
        <v>61</v>
      </c>
      <c r="AC48" s="1">
        <v>57.996400000000001</v>
      </c>
      <c r="AD48" s="1" t="s">
        <v>46</v>
      </c>
    </row>
    <row r="49" spans="1:30" ht="13" x14ac:dyDescent="0.15">
      <c r="A49" s="1" t="s">
        <v>62</v>
      </c>
      <c r="B49" s="1">
        <v>1853.799</v>
      </c>
      <c r="C49" s="1" t="s">
        <v>46</v>
      </c>
      <c r="D49" s="1" t="s">
        <v>62</v>
      </c>
      <c r="E49" s="1">
        <v>818.9434</v>
      </c>
      <c r="F49" s="1" t="s">
        <v>46</v>
      </c>
      <c r="G49" s="1" t="s">
        <v>62</v>
      </c>
      <c r="H49" s="1">
        <v>48.417200000000001</v>
      </c>
      <c r="I49" s="1" t="s">
        <v>46</v>
      </c>
      <c r="J49" s="1" t="s">
        <v>62</v>
      </c>
      <c r="K49" s="1">
        <v>36.105200000000004</v>
      </c>
      <c r="L49" s="1" t="s">
        <v>46</v>
      </c>
      <c r="M49" s="1" t="s">
        <v>62</v>
      </c>
      <c r="N49" s="1">
        <v>25.496300000000002</v>
      </c>
      <c r="O49" s="1" t="s">
        <v>63</v>
      </c>
      <c r="P49" s="1" t="s">
        <v>62</v>
      </c>
      <c r="Q49" s="1">
        <v>31.6189</v>
      </c>
      <c r="R49" s="1" t="s">
        <v>46</v>
      </c>
      <c r="S49" s="1" t="s">
        <v>62</v>
      </c>
      <c r="T49" s="1">
        <v>0.82499999999999996</v>
      </c>
      <c r="U49" s="1" t="s">
        <v>46</v>
      </c>
      <c r="V49" s="1" t="s">
        <v>62</v>
      </c>
      <c r="W49" s="1">
        <v>67.321399999999997</v>
      </c>
      <c r="X49" s="1" t="s">
        <v>46</v>
      </c>
      <c r="Y49" s="3" t="s">
        <v>62</v>
      </c>
      <c r="Z49" s="3">
        <v>8.8271999999999995</v>
      </c>
      <c r="AA49" s="3" t="s">
        <v>46</v>
      </c>
      <c r="AB49" s="1" t="s">
        <v>62</v>
      </c>
      <c r="AC49" s="1">
        <v>4.3548999999999998</v>
      </c>
      <c r="AD49" s="1" t="s">
        <v>46</v>
      </c>
    </row>
    <row r="50" spans="1:30" ht="13" x14ac:dyDescent="0.15">
      <c r="A50" s="1" t="s">
        <v>64</v>
      </c>
      <c r="B50" s="1">
        <v>178</v>
      </c>
      <c r="C50" s="1" t="s">
        <v>36</v>
      </c>
      <c r="D50" s="1" t="s">
        <v>64</v>
      </c>
      <c r="E50" s="1">
        <v>90</v>
      </c>
      <c r="F50" s="1" t="s">
        <v>36</v>
      </c>
      <c r="G50" s="1" t="s">
        <v>64</v>
      </c>
      <c r="H50" s="1">
        <v>14</v>
      </c>
      <c r="I50" s="1" t="s">
        <v>36</v>
      </c>
      <c r="J50" s="1" t="s">
        <v>64</v>
      </c>
      <c r="K50" s="1">
        <v>2415</v>
      </c>
      <c r="L50" s="1" t="s">
        <v>37</v>
      </c>
      <c r="M50" s="1" t="s">
        <v>64</v>
      </c>
      <c r="N50" s="1">
        <v>7393.6848</v>
      </c>
      <c r="O50" s="1" t="s">
        <v>46</v>
      </c>
      <c r="P50" s="1" t="s">
        <v>64</v>
      </c>
      <c r="Q50" s="1">
        <v>48</v>
      </c>
      <c r="R50" s="1" t="s">
        <v>36</v>
      </c>
      <c r="S50" s="1" t="s">
        <v>64</v>
      </c>
      <c r="T50" s="1">
        <v>38</v>
      </c>
      <c r="U50" s="1" t="s">
        <v>36</v>
      </c>
      <c r="V50" s="1" t="s">
        <v>64</v>
      </c>
      <c r="W50" s="1">
        <v>1748</v>
      </c>
      <c r="X50" s="1" t="s">
        <v>37</v>
      </c>
      <c r="Y50" s="3" t="s">
        <v>64</v>
      </c>
      <c r="Z50" s="3">
        <v>3206</v>
      </c>
      <c r="AA50" s="3" t="s">
        <v>37</v>
      </c>
      <c r="AB50" s="1" t="s">
        <v>64</v>
      </c>
      <c r="AC50" s="1">
        <v>222.61429999999999</v>
      </c>
      <c r="AD50" s="1" t="s">
        <v>37</v>
      </c>
    </row>
    <row r="51" spans="1:30" ht="13" x14ac:dyDescent="0.15">
      <c r="A51" s="1" t="s">
        <v>29</v>
      </c>
      <c r="B51" s="1" t="s">
        <v>65</v>
      </c>
      <c r="D51" s="1" t="s">
        <v>29</v>
      </c>
      <c r="E51" s="1" t="s">
        <v>65</v>
      </c>
      <c r="G51" s="1" t="s">
        <v>29</v>
      </c>
      <c r="H51" s="1" t="s">
        <v>65</v>
      </c>
      <c r="J51" s="1" t="s">
        <v>29</v>
      </c>
      <c r="K51" s="1" t="s">
        <v>65</v>
      </c>
      <c r="M51" s="1" t="s">
        <v>29</v>
      </c>
      <c r="N51" s="1" t="s">
        <v>65</v>
      </c>
      <c r="P51" s="1" t="s">
        <v>29</v>
      </c>
      <c r="Q51" s="1" t="s">
        <v>65</v>
      </c>
      <c r="S51" s="1" t="s">
        <v>29</v>
      </c>
      <c r="T51" s="1" t="s">
        <v>65</v>
      </c>
      <c r="V51" s="1" t="s">
        <v>29</v>
      </c>
      <c r="W51" s="1" t="s">
        <v>65</v>
      </c>
      <c r="Y51" s="3" t="s">
        <v>29</v>
      </c>
      <c r="Z51" s="3" t="s">
        <v>65</v>
      </c>
      <c r="AA51" s="3"/>
      <c r="AB51" s="1" t="s">
        <v>29</v>
      </c>
      <c r="AC51" s="1" t="s">
        <v>65</v>
      </c>
    </row>
    <row r="52" spans="1:30" ht="13" x14ac:dyDescent="0.15">
      <c r="A52" s="1" t="s">
        <v>66</v>
      </c>
      <c r="B52" s="1">
        <v>245</v>
      </c>
      <c r="C52" s="1" t="s">
        <v>36</v>
      </c>
      <c r="D52" s="1" t="s">
        <v>66</v>
      </c>
      <c r="E52" s="1">
        <v>240</v>
      </c>
      <c r="F52" s="1" t="s">
        <v>36</v>
      </c>
      <c r="G52" s="1" t="s">
        <v>66</v>
      </c>
      <c r="H52" s="1">
        <v>22</v>
      </c>
      <c r="I52" s="1" t="s">
        <v>36</v>
      </c>
      <c r="J52" s="1" t="s">
        <v>66</v>
      </c>
      <c r="K52" s="1">
        <v>4405</v>
      </c>
      <c r="L52" s="1" t="s">
        <v>37</v>
      </c>
      <c r="M52" s="1" t="s">
        <v>66</v>
      </c>
      <c r="N52" s="1">
        <v>98.493899999999996</v>
      </c>
      <c r="O52" s="1" t="s">
        <v>37</v>
      </c>
      <c r="P52" s="1" t="s">
        <v>66</v>
      </c>
      <c r="Q52" s="1">
        <v>52</v>
      </c>
      <c r="R52" s="1" t="s">
        <v>36</v>
      </c>
      <c r="S52" s="1" t="s">
        <v>66</v>
      </c>
      <c r="T52" s="1">
        <v>38</v>
      </c>
      <c r="U52" s="1" t="s">
        <v>36</v>
      </c>
      <c r="V52" s="1" t="s">
        <v>70</v>
      </c>
      <c r="W52" s="1">
        <v>3091</v>
      </c>
      <c r="X52" s="1" t="s">
        <v>37</v>
      </c>
      <c r="Y52" s="3" t="s">
        <v>66</v>
      </c>
      <c r="Z52" s="3">
        <v>42</v>
      </c>
      <c r="AA52" s="3" t="s">
        <v>36</v>
      </c>
      <c r="AB52" s="1" t="s">
        <v>66</v>
      </c>
      <c r="AC52" s="1">
        <v>224.20519999999999</v>
      </c>
      <c r="AD52" s="1" t="s">
        <v>37</v>
      </c>
    </row>
    <row r="53" spans="1:30" ht="13" x14ac:dyDescent="0.15">
      <c r="A53" s="1" t="s">
        <v>67</v>
      </c>
      <c r="B53" s="1">
        <v>180</v>
      </c>
      <c r="C53" s="1" t="s">
        <v>36</v>
      </c>
      <c r="D53" s="1" t="s">
        <v>68</v>
      </c>
      <c r="E53" s="1">
        <v>146</v>
      </c>
      <c r="F53" s="1" t="s">
        <v>36</v>
      </c>
      <c r="G53" s="1" t="s">
        <v>67</v>
      </c>
      <c r="H53" s="1">
        <v>14</v>
      </c>
      <c r="I53" s="1" t="s">
        <v>36</v>
      </c>
      <c r="J53" s="1" t="s">
        <v>67</v>
      </c>
      <c r="K53" s="1">
        <v>2462</v>
      </c>
      <c r="L53" s="1" t="s">
        <v>37</v>
      </c>
      <c r="M53" s="1" t="s">
        <v>68</v>
      </c>
      <c r="N53" s="1">
        <v>85.018299999999996</v>
      </c>
      <c r="O53" s="1" t="s">
        <v>37</v>
      </c>
      <c r="P53" s="1" t="s">
        <v>67</v>
      </c>
      <c r="Q53" s="1">
        <v>48</v>
      </c>
      <c r="R53" s="1" t="s">
        <v>36</v>
      </c>
      <c r="S53" s="1" t="s">
        <v>67</v>
      </c>
      <c r="T53" s="1">
        <v>38</v>
      </c>
      <c r="U53" s="1" t="s">
        <v>36</v>
      </c>
      <c r="V53" s="1" t="s">
        <v>71</v>
      </c>
      <c r="W53" s="1">
        <v>2654</v>
      </c>
      <c r="X53" s="1" t="s">
        <v>37</v>
      </c>
      <c r="Y53" s="3" t="s">
        <v>68</v>
      </c>
      <c r="Z53" s="3">
        <v>37</v>
      </c>
      <c r="AA53" s="3" t="s">
        <v>36</v>
      </c>
      <c r="AB53" s="1" t="s">
        <v>67</v>
      </c>
      <c r="AC53" s="1">
        <v>222.6336</v>
      </c>
      <c r="AD53" s="1" t="s">
        <v>37</v>
      </c>
    </row>
    <row r="54" spans="1:30" ht="13" x14ac:dyDescent="0.15">
      <c r="A54" s="1" t="s">
        <v>70</v>
      </c>
      <c r="B54" s="1">
        <v>85</v>
      </c>
      <c r="C54" s="1" t="s">
        <v>36</v>
      </c>
      <c r="D54" s="1" t="s">
        <v>67</v>
      </c>
      <c r="E54" s="1">
        <v>94</v>
      </c>
      <c r="F54" s="1" t="s">
        <v>36</v>
      </c>
      <c r="G54" s="1" t="s">
        <v>68</v>
      </c>
      <c r="H54" s="1">
        <v>7154</v>
      </c>
      <c r="I54" s="1" t="s">
        <v>37</v>
      </c>
      <c r="J54" s="1" t="s">
        <v>68</v>
      </c>
      <c r="K54" s="1">
        <v>1937</v>
      </c>
      <c r="L54" s="1" t="s">
        <v>37</v>
      </c>
      <c r="M54" s="1" t="s">
        <v>67</v>
      </c>
      <c r="N54" s="1">
        <v>9456.0049999999992</v>
      </c>
      <c r="O54" s="1" t="s">
        <v>46</v>
      </c>
      <c r="P54" s="1" t="s">
        <v>68</v>
      </c>
      <c r="Q54" s="1">
        <v>3939</v>
      </c>
      <c r="R54" s="1" t="s">
        <v>37</v>
      </c>
      <c r="S54" s="1" t="s">
        <v>70</v>
      </c>
      <c r="T54" s="1">
        <v>37.878300000000003</v>
      </c>
      <c r="U54" s="1" t="s">
        <v>37</v>
      </c>
      <c r="V54" s="1" t="s">
        <v>66</v>
      </c>
      <c r="W54" s="1">
        <v>1772</v>
      </c>
      <c r="X54" s="1" t="s">
        <v>37</v>
      </c>
      <c r="Y54" s="3" t="s">
        <v>67</v>
      </c>
      <c r="Z54" s="3">
        <v>4114</v>
      </c>
      <c r="AA54" s="3" t="s">
        <v>37</v>
      </c>
      <c r="AB54" s="1" t="s">
        <v>70</v>
      </c>
      <c r="AC54" s="1">
        <v>199.93819999999999</v>
      </c>
      <c r="AD54" s="1" t="s">
        <v>37</v>
      </c>
    </row>
    <row r="55" spans="1:30" ht="13" x14ac:dyDescent="0.15">
      <c r="A55" s="1" t="s">
        <v>71</v>
      </c>
      <c r="B55" s="1">
        <v>73</v>
      </c>
      <c r="C55" s="1" t="s">
        <v>36</v>
      </c>
      <c r="D55" s="1" t="s">
        <v>70</v>
      </c>
      <c r="E55" s="1">
        <v>38</v>
      </c>
      <c r="F55" s="1" t="s">
        <v>36</v>
      </c>
      <c r="G55" s="1" t="s">
        <v>70</v>
      </c>
      <c r="H55" s="1">
        <v>2223</v>
      </c>
      <c r="I55" s="1" t="s">
        <v>37</v>
      </c>
      <c r="J55" s="1" t="s">
        <v>70</v>
      </c>
      <c r="K55" s="1">
        <v>1658</v>
      </c>
      <c r="L55" s="1" t="s">
        <v>37</v>
      </c>
      <c r="M55" s="1" t="s">
        <v>69</v>
      </c>
      <c r="N55" s="1">
        <v>4019.6170000000002</v>
      </c>
      <c r="O55" s="1" t="s">
        <v>46</v>
      </c>
      <c r="P55" s="1" t="s">
        <v>70</v>
      </c>
      <c r="Q55" s="1">
        <v>1452</v>
      </c>
      <c r="R55" s="1" t="s">
        <v>37</v>
      </c>
      <c r="S55" s="1" t="s">
        <v>71</v>
      </c>
      <c r="T55" s="1">
        <v>32.526400000000002</v>
      </c>
      <c r="U55" s="1" t="s">
        <v>37</v>
      </c>
      <c r="V55" s="1" t="s">
        <v>67</v>
      </c>
      <c r="W55" s="1">
        <v>1748</v>
      </c>
      <c r="X55" s="1" t="s">
        <v>37</v>
      </c>
      <c r="Y55" s="3" t="s">
        <v>70</v>
      </c>
      <c r="Z55" s="3">
        <v>404.38760000000002</v>
      </c>
      <c r="AA55" s="3" t="s">
        <v>37</v>
      </c>
      <c r="AB55" s="1" t="s">
        <v>71</v>
      </c>
      <c r="AC55" s="1">
        <v>171.68870000000001</v>
      </c>
      <c r="AD55" s="1" t="s">
        <v>37</v>
      </c>
    </row>
    <row r="56" spans="1:30" ht="13" x14ac:dyDescent="0.15">
      <c r="A56" s="1" t="s">
        <v>68</v>
      </c>
      <c r="B56" s="1">
        <v>65</v>
      </c>
      <c r="C56" s="1" t="s">
        <v>36</v>
      </c>
      <c r="D56" s="1" t="s">
        <v>71</v>
      </c>
      <c r="E56" s="1">
        <v>32</v>
      </c>
      <c r="F56" s="1" t="s">
        <v>36</v>
      </c>
      <c r="G56" s="1" t="s">
        <v>71</v>
      </c>
      <c r="H56" s="1">
        <v>1909</v>
      </c>
      <c r="I56" s="1" t="s">
        <v>37</v>
      </c>
      <c r="J56" s="1" t="s">
        <v>71</v>
      </c>
      <c r="K56" s="1">
        <v>1423</v>
      </c>
      <c r="L56" s="1" t="s">
        <v>37</v>
      </c>
      <c r="M56" s="1" t="s">
        <v>70</v>
      </c>
      <c r="N56" s="1">
        <v>1168.5631000000001</v>
      </c>
      <c r="O56" s="1" t="s">
        <v>46</v>
      </c>
      <c r="P56" s="1" t="s">
        <v>71</v>
      </c>
      <c r="Q56" s="1">
        <v>1246</v>
      </c>
      <c r="R56" s="1" t="s">
        <v>37</v>
      </c>
      <c r="S56" s="1" t="s">
        <v>68</v>
      </c>
      <c r="T56" s="1">
        <v>7333.7127</v>
      </c>
      <c r="U56" s="1" t="s">
        <v>46</v>
      </c>
      <c r="V56" s="1" t="s">
        <v>72</v>
      </c>
      <c r="W56" s="1">
        <v>436.70339999999999</v>
      </c>
      <c r="X56" s="1" t="s">
        <v>37</v>
      </c>
      <c r="Y56" s="3" t="s">
        <v>71</v>
      </c>
      <c r="Z56" s="3">
        <v>347.12670000000003</v>
      </c>
      <c r="AA56" s="3" t="s">
        <v>37</v>
      </c>
      <c r="AB56" s="1" t="s">
        <v>72</v>
      </c>
      <c r="AC56" s="1">
        <v>28.249500000000001</v>
      </c>
      <c r="AD56" s="1" t="s">
        <v>37</v>
      </c>
    </row>
    <row r="57" spans="1:30" ht="13" x14ac:dyDescent="0.15">
      <c r="A57" s="1" t="s">
        <v>72</v>
      </c>
      <c r="B57" s="1">
        <v>12</v>
      </c>
      <c r="C57" s="1" t="s">
        <v>36</v>
      </c>
      <c r="D57" s="1" t="s">
        <v>72</v>
      </c>
      <c r="E57" s="1">
        <v>5312</v>
      </c>
      <c r="F57" s="1" t="s">
        <v>37</v>
      </c>
      <c r="G57" s="1" t="s">
        <v>72</v>
      </c>
      <c r="H57" s="1">
        <v>314.07459999999998</v>
      </c>
      <c r="I57" s="1" t="s">
        <v>37</v>
      </c>
      <c r="J57" s="1" t="s">
        <v>72</v>
      </c>
      <c r="K57" s="1">
        <v>234.20869999999999</v>
      </c>
      <c r="L57" s="1" t="s">
        <v>37</v>
      </c>
      <c r="M57" s="1" t="s">
        <v>71</v>
      </c>
      <c r="N57" s="1">
        <v>1003.1726</v>
      </c>
      <c r="O57" s="1" t="s">
        <v>46</v>
      </c>
      <c r="P57" s="1" t="s">
        <v>72</v>
      </c>
      <c r="Q57" s="1">
        <v>205.10679999999999</v>
      </c>
      <c r="R57" s="1" t="s">
        <v>37</v>
      </c>
      <c r="S57" s="1" t="s">
        <v>72</v>
      </c>
      <c r="T57" s="1">
        <v>5351.8828999999996</v>
      </c>
      <c r="U57" s="1" t="s">
        <v>46</v>
      </c>
      <c r="V57" s="1" t="s">
        <v>73</v>
      </c>
      <c r="W57" s="1">
        <v>102.2617</v>
      </c>
      <c r="X57" s="1" t="s">
        <v>37</v>
      </c>
      <c r="Y57" s="3" t="s">
        <v>72</v>
      </c>
      <c r="Z57" s="3">
        <v>57.260899999999999</v>
      </c>
      <c r="AA57" s="3" t="s">
        <v>37</v>
      </c>
      <c r="AB57" s="1" t="s">
        <v>73</v>
      </c>
      <c r="AC57" s="1">
        <v>6615.1035000000002</v>
      </c>
      <c r="AD57" s="1" t="s">
        <v>46</v>
      </c>
    </row>
    <row r="58" spans="1:30" ht="13" x14ac:dyDescent="0.15">
      <c r="A58" s="1" t="s">
        <v>73</v>
      </c>
      <c r="B58" s="1">
        <v>2816</v>
      </c>
      <c r="C58" s="1" t="s">
        <v>37</v>
      </c>
      <c r="D58" s="1" t="s">
        <v>73</v>
      </c>
      <c r="E58" s="1">
        <v>1244</v>
      </c>
      <c r="F58" s="1" t="s">
        <v>37</v>
      </c>
      <c r="G58" s="1" t="s">
        <v>73</v>
      </c>
      <c r="H58" s="1">
        <v>73.546000000000006</v>
      </c>
      <c r="I58" s="1" t="s">
        <v>37</v>
      </c>
      <c r="J58" s="1" t="s">
        <v>73</v>
      </c>
      <c r="K58" s="1">
        <v>54.844000000000001</v>
      </c>
      <c r="L58" s="1" t="s">
        <v>37</v>
      </c>
      <c r="M58" s="1" t="s">
        <v>72</v>
      </c>
      <c r="N58" s="1">
        <v>165.3905</v>
      </c>
      <c r="O58" s="1" t="s">
        <v>46</v>
      </c>
      <c r="P58" s="1" t="s">
        <v>73</v>
      </c>
      <c r="Q58" s="1">
        <v>48.029299999999999</v>
      </c>
      <c r="R58" s="1" t="s">
        <v>37</v>
      </c>
      <c r="S58" s="1" t="s">
        <v>73</v>
      </c>
      <c r="T58" s="1">
        <v>1253.2360000000001</v>
      </c>
      <c r="U58" s="1" t="s">
        <v>46</v>
      </c>
      <c r="V58" s="1" t="s">
        <v>69</v>
      </c>
      <c r="W58" s="1">
        <v>12.0169</v>
      </c>
      <c r="X58" s="1" t="s">
        <v>37</v>
      </c>
      <c r="Y58" s="3" t="s">
        <v>73</v>
      </c>
      <c r="Z58" s="3">
        <v>13.4086</v>
      </c>
      <c r="AA58" s="3" t="s">
        <v>37</v>
      </c>
      <c r="AB58" s="1" t="s">
        <v>68</v>
      </c>
      <c r="AC58" s="1">
        <v>794.31569999999999</v>
      </c>
      <c r="AD58" s="1" t="s">
        <v>46</v>
      </c>
    </row>
    <row r="59" spans="1:30" ht="13" x14ac:dyDescent="0.15">
      <c r="A59" s="1" t="s">
        <v>69</v>
      </c>
      <c r="B59" s="1">
        <v>309.91149999999999</v>
      </c>
      <c r="C59" s="1" t="s">
        <v>37</v>
      </c>
      <c r="D59" s="1" t="s">
        <v>69</v>
      </c>
      <c r="E59" s="1">
        <v>98.489099999999993</v>
      </c>
      <c r="F59" s="1" t="s">
        <v>37</v>
      </c>
      <c r="G59" s="1" t="s">
        <v>69</v>
      </c>
      <c r="H59" s="1">
        <v>6309.1922000000004</v>
      </c>
      <c r="I59" s="1" t="s">
        <v>46</v>
      </c>
      <c r="J59" s="1" t="s">
        <v>69</v>
      </c>
      <c r="K59" s="1">
        <v>5814.3611000000001</v>
      </c>
      <c r="L59" s="1" t="s">
        <v>46</v>
      </c>
      <c r="M59" s="1" t="s">
        <v>73</v>
      </c>
      <c r="N59" s="1">
        <v>38.728999999999999</v>
      </c>
      <c r="O59" s="1" t="s">
        <v>46</v>
      </c>
      <c r="P59" s="1" t="s">
        <v>69</v>
      </c>
      <c r="Q59" s="1">
        <v>4359.4674000000005</v>
      </c>
      <c r="R59" s="1" t="s">
        <v>46</v>
      </c>
      <c r="S59" s="1" t="s">
        <v>69</v>
      </c>
      <c r="T59" s="1">
        <v>144.9229</v>
      </c>
      <c r="U59" s="1" t="s">
        <v>46</v>
      </c>
      <c r="V59" s="1" t="s">
        <v>68</v>
      </c>
      <c r="W59" s="1">
        <v>11.959</v>
      </c>
      <c r="X59" s="1" t="s">
        <v>37</v>
      </c>
      <c r="Y59" s="3" t="s">
        <v>43</v>
      </c>
      <c r="Z59" s="3">
        <v>2829.2536</v>
      </c>
      <c r="AA59" s="3" t="s">
        <v>39</v>
      </c>
      <c r="AB59" s="1" t="s">
        <v>69</v>
      </c>
      <c r="AC59" s="1">
        <v>777.34569999999997</v>
      </c>
      <c r="AD59" s="1" t="s">
        <v>46</v>
      </c>
    </row>
    <row r="60" spans="1:30" ht="13" x14ac:dyDescent="0.15">
      <c r="A60" s="1" t="s">
        <v>43</v>
      </c>
      <c r="B60" s="1">
        <v>39363.138500000001</v>
      </c>
      <c r="C60" s="1" t="s">
        <v>39</v>
      </c>
      <c r="D60" s="1" t="s">
        <v>43</v>
      </c>
      <c r="E60" s="1">
        <v>26263.054800000002</v>
      </c>
      <c r="F60" s="1" t="s">
        <v>39</v>
      </c>
      <c r="G60" s="1" t="s">
        <v>43</v>
      </c>
      <c r="H60" s="1">
        <v>32394.291000000001</v>
      </c>
      <c r="I60" s="1" t="s">
        <v>39</v>
      </c>
      <c r="J60" s="1" t="s">
        <v>43</v>
      </c>
      <c r="K60" s="1">
        <v>3268.9715999999999</v>
      </c>
      <c r="L60" s="1" t="s">
        <v>39</v>
      </c>
      <c r="M60" s="1" t="s">
        <v>43</v>
      </c>
      <c r="N60" s="1">
        <v>108.61490000000001</v>
      </c>
      <c r="O60" s="1" t="s">
        <v>39</v>
      </c>
      <c r="P60" s="1" t="s">
        <v>43</v>
      </c>
      <c r="Q60" s="1">
        <v>14823.5589</v>
      </c>
      <c r="R60" s="1" t="s">
        <v>39</v>
      </c>
      <c r="S60" s="1" t="s">
        <v>43</v>
      </c>
      <c r="T60" s="1">
        <v>405.26499999999999</v>
      </c>
      <c r="U60" s="1" t="s">
        <v>39</v>
      </c>
      <c r="V60" s="1" t="s">
        <v>43</v>
      </c>
      <c r="W60" s="1">
        <v>1151.5275999999999</v>
      </c>
      <c r="X60" s="1" t="s">
        <v>39</v>
      </c>
      <c r="Y60" s="3" t="s">
        <v>69</v>
      </c>
      <c r="Z60" s="3">
        <v>-10.6419</v>
      </c>
      <c r="AA60" s="3" t="s">
        <v>37</v>
      </c>
      <c r="AB60" s="1" t="s">
        <v>43</v>
      </c>
      <c r="AC60" s="1">
        <v>816.79269999999997</v>
      </c>
      <c r="AD60" s="1" t="s">
        <v>39</v>
      </c>
    </row>
    <row r="61" spans="1:30" ht="13" x14ac:dyDescent="0.15">
      <c r="A61" s="1" t="s">
        <v>74</v>
      </c>
      <c r="D61" s="1" t="s">
        <v>74</v>
      </c>
      <c r="G61" s="1" t="s">
        <v>74</v>
      </c>
      <c r="J61" s="1" t="s">
        <v>74</v>
      </c>
      <c r="M61" s="1" t="s">
        <v>74</v>
      </c>
      <c r="P61" s="1" t="s">
        <v>74</v>
      </c>
      <c r="S61" s="1" t="s">
        <v>74</v>
      </c>
      <c r="V61" s="1" t="s">
        <v>74</v>
      </c>
      <c r="Y61" s="3" t="s">
        <v>74</v>
      </c>
      <c r="Z61" s="3"/>
      <c r="AA61" s="3"/>
      <c r="AB61" s="1" t="s">
        <v>74</v>
      </c>
    </row>
    <row r="62" spans="1:30" ht="13" x14ac:dyDescent="0.15">
      <c r="A62" s="1" t="s">
        <v>11</v>
      </c>
      <c r="D62" s="1" t="s">
        <v>11</v>
      </c>
      <c r="G62" s="1" t="s">
        <v>11</v>
      </c>
      <c r="J62" s="1" t="s">
        <v>11</v>
      </c>
      <c r="M62" s="1" t="s">
        <v>11</v>
      </c>
      <c r="P62" s="1" t="s">
        <v>11</v>
      </c>
      <c r="S62" s="1" t="s">
        <v>11</v>
      </c>
      <c r="V62" s="1" t="s">
        <v>11</v>
      </c>
      <c r="Y62" s="3" t="s">
        <v>11</v>
      </c>
      <c r="Z62" s="3"/>
      <c r="AA62" s="3"/>
      <c r="AB62" s="1" t="s">
        <v>11</v>
      </c>
    </row>
    <row r="63" spans="1:30" ht="13" x14ac:dyDescent="0.15">
      <c r="A63" s="1" t="s">
        <v>10</v>
      </c>
      <c r="D63" s="1" t="s">
        <v>10</v>
      </c>
      <c r="G63" s="1" t="s">
        <v>10</v>
      </c>
      <c r="J63" s="1" t="s">
        <v>10</v>
      </c>
      <c r="M63" s="1" t="s">
        <v>10</v>
      </c>
      <c r="P63" s="1" t="s">
        <v>10</v>
      </c>
      <c r="S63" s="1" t="s">
        <v>10</v>
      </c>
      <c r="V63" s="1" t="s">
        <v>10</v>
      </c>
      <c r="Y63" s="3" t="s">
        <v>10</v>
      </c>
      <c r="Z63" s="3"/>
      <c r="AA63" s="3"/>
      <c r="AB63" s="1" t="s">
        <v>10</v>
      </c>
    </row>
    <row r="64" spans="1:30" ht="13" x14ac:dyDescent="0.15">
      <c r="A64" s="1" t="s">
        <v>12</v>
      </c>
      <c r="B64" s="1">
        <v>1.2146999999999999</v>
      </c>
      <c r="C64" s="1" t="s">
        <v>13</v>
      </c>
      <c r="D64" s="1" t="s">
        <v>12</v>
      </c>
      <c r="E64" s="1">
        <v>0.97209999999999996</v>
      </c>
      <c r="F64" s="1" t="s">
        <v>13</v>
      </c>
      <c r="G64" s="1" t="s">
        <v>12</v>
      </c>
      <c r="H64" s="1">
        <v>67.501400000000004</v>
      </c>
      <c r="I64" s="1" t="s">
        <v>14</v>
      </c>
      <c r="J64" s="1" t="s">
        <v>12</v>
      </c>
      <c r="K64" s="1">
        <v>25.230899999999998</v>
      </c>
      <c r="L64" s="1" t="s">
        <v>14</v>
      </c>
      <c r="M64" s="1" t="s">
        <v>12</v>
      </c>
      <c r="N64" s="1">
        <v>0.36959999999999998</v>
      </c>
      <c r="O64" s="1" t="s">
        <v>14</v>
      </c>
      <c r="P64" s="1" t="s">
        <v>12</v>
      </c>
      <c r="Q64" s="1">
        <v>48.911999999999999</v>
      </c>
      <c r="R64" s="1" t="s">
        <v>14</v>
      </c>
      <c r="S64" s="1" t="s">
        <v>12</v>
      </c>
      <c r="T64" s="1">
        <v>8.0798000000000005</v>
      </c>
      <c r="U64" s="1" t="s">
        <v>14</v>
      </c>
      <c r="V64" s="1" t="s">
        <v>12</v>
      </c>
      <c r="W64" s="1">
        <v>28.725200000000001</v>
      </c>
      <c r="X64" s="1" t="s">
        <v>14</v>
      </c>
      <c r="Y64" s="3" t="s">
        <v>12</v>
      </c>
      <c r="Z64" s="3">
        <v>0.15939999999999999</v>
      </c>
      <c r="AA64" s="3" t="s">
        <v>13</v>
      </c>
      <c r="AB64" s="1" t="s">
        <v>12</v>
      </c>
      <c r="AC64" s="1">
        <v>1.8804000000000001</v>
      </c>
      <c r="AD64" s="1" t="s">
        <v>14</v>
      </c>
    </row>
    <row r="65" spans="1:30" ht="13" x14ac:dyDescent="0.15">
      <c r="A65" s="1" t="s">
        <v>15</v>
      </c>
      <c r="B65" s="1">
        <v>1.2181</v>
      </c>
      <c r="C65" s="1" t="s">
        <v>13</v>
      </c>
      <c r="D65" s="1" t="s">
        <v>15</v>
      </c>
      <c r="E65" s="1">
        <v>0.97360000000000002</v>
      </c>
      <c r="F65" s="1" t="s">
        <v>13</v>
      </c>
      <c r="G65" s="1" t="s">
        <v>15</v>
      </c>
      <c r="H65" s="1">
        <v>67.589100000000002</v>
      </c>
      <c r="I65" s="1" t="s">
        <v>14</v>
      </c>
      <c r="J65" s="1" t="s">
        <v>15</v>
      </c>
      <c r="K65" s="1">
        <v>25.296299999999999</v>
      </c>
      <c r="L65" s="1" t="s">
        <v>14</v>
      </c>
      <c r="M65" s="1" t="s">
        <v>15</v>
      </c>
      <c r="N65" s="1">
        <v>0.36959999999999998</v>
      </c>
      <c r="O65" s="1" t="s">
        <v>14</v>
      </c>
      <c r="P65" s="1" t="s">
        <v>15</v>
      </c>
      <c r="Q65" s="1">
        <v>48.969299999999997</v>
      </c>
      <c r="R65" s="1" t="s">
        <v>14</v>
      </c>
      <c r="S65" s="1" t="s">
        <v>15</v>
      </c>
      <c r="T65" s="1">
        <v>8.0813000000000006</v>
      </c>
      <c r="U65" s="1" t="s">
        <v>14</v>
      </c>
      <c r="V65" s="1" t="s">
        <v>15</v>
      </c>
      <c r="W65" s="1">
        <v>28.847100000000001</v>
      </c>
      <c r="X65" s="1" t="s">
        <v>14</v>
      </c>
      <c r="Y65" s="3" t="s">
        <v>15</v>
      </c>
      <c r="Z65" s="3">
        <v>0.15939999999999999</v>
      </c>
      <c r="AA65" s="3" t="s">
        <v>13</v>
      </c>
      <c r="AB65" s="1" t="s">
        <v>15</v>
      </c>
      <c r="AC65" s="1">
        <v>1.8883000000000001</v>
      </c>
      <c r="AD65" s="1" t="s">
        <v>14</v>
      </c>
    </row>
    <row r="66" spans="1:30" ht="13" x14ac:dyDescent="0.15">
      <c r="A66" s="1" t="s">
        <v>16</v>
      </c>
      <c r="B66" s="1">
        <v>-3.3999999999999998E-3</v>
      </c>
      <c r="C66" s="1" t="s">
        <v>13</v>
      </c>
      <c r="D66" s="1" t="s">
        <v>16</v>
      </c>
      <c r="E66" s="2">
        <v>-1.5E-3</v>
      </c>
      <c r="F66" s="1" t="s">
        <v>13</v>
      </c>
      <c r="G66" s="1" t="s">
        <v>16</v>
      </c>
      <c r="H66" s="2">
        <v>-8.7699000000000002E-5</v>
      </c>
      <c r="I66" s="1" t="s">
        <v>13</v>
      </c>
      <c r="J66" s="1" t="s">
        <v>16</v>
      </c>
      <c r="K66" s="2">
        <v>-6.5398E-5</v>
      </c>
      <c r="L66" s="1" t="s">
        <v>13</v>
      </c>
      <c r="M66" s="1" t="s">
        <v>16</v>
      </c>
      <c r="N66" s="2">
        <v>-4.6182000000000003E-8</v>
      </c>
      <c r="O66" s="1" t="s">
        <v>13</v>
      </c>
      <c r="P66" s="1" t="s">
        <v>16</v>
      </c>
      <c r="Q66" s="2">
        <v>-5.7272000000000003E-5</v>
      </c>
      <c r="R66" s="1" t="s">
        <v>13</v>
      </c>
      <c r="S66" s="1" t="s">
        <v>16</v>
      </c>
      <c r="T66" s="2">
        <v>-1.4944E-6</v>
      </c>
      <c r="U66" s="1" t="s">
        <v>13</v>
      </c>
      <c r="V66" s="1" t="s">
        <v>16</v>
      </c>
      <c r="W66" s="2">
        <v>-1.2194E-4</v>
      </c>
      <c r="X66" s="1" t="s">
        <v>13</v>
      </c>
      <c r="Y66" s="3" t="s">
        <v>16</v>
      </c>
      <c r="Z66" s="27">
        <v>-1.5999999999999999E-5</v>
      </c>
      <c r="AA66" s="3" t="s">
        <v>13</v>
      </c>
      <c r="AB66" s="1" t="s">
        <v>16</v>
      </c>
      <c r="AC66" s="2">
        <v>-7.8880999999999999E-6</v>
      </c>
      <c r="AD66" s="1" t="s">
        <v>13</v>
      </c>
    </row>
    <row r="67" spans="1:30" ht="13" x14ac:dyDescent="0.15">
      <c r="A67" s="1" t="s">
        <v>17</v>
      </c>
      <c r="B67" s="1">
        <v>0.89790000000000003</v>
      </c>
      <c r="C67" s="1" t="s">
        <v>14</v>
      </c>
      <c r="D67" s="1" t="s">
        <v>17</v>
      </c>
      <c r="E67" s="1">
        <v>0.41239999999999999</v>
      </c>
      <c r="F67" s="1" t="s">
        <v>14</v>
      </c>
      <c r="G67" s="1" t="s">
        <v>17</v>
      </c>
      <c r="H67" s="1">
        <v>38.703499999999998</v>
      </c>
      <c r="I67" s="1" t="s">
        <v>18</v>
      </c>
      <c r="J67" s="1" t="s">
        <v>17</v>
      </c>
      <c r="K67" s="1">
        <v>6.7773000000000003</v>
      </c>
      <c r="L67" s="1" t="s">
        <v>18</v>
      </c>
      <c r="M67" s="1" t="s">
        <v>17</v>
      </c>
      <c r="N67" s="1">
        <v>0.2467</v>
      </c>
      <c r="O67" s="1" t="s">
        <v>18</v>
      </c>
      <c r="P67" s="1" t="s">
        <v>17</v>
      </c>
      <c r="Q67" s="1">
        <v>42.404200000000003</v>
      </c>
      <c r="R67" s="1" t="s">
        <v>18</v>
      </c>
      <c r="S67" s="1" t="s">
        <v>17</v>
      </c>
      <c r="T67" s="1">
        <v>20.474599999999999</v>
      </c>
      <c r="U67" s="1" t="s">
        <v>18</v>
      </c>
      <c r="V67" s="1" t="s">
        <v>17</v>
      </c>
      <c r="W67" s="1">
        <v>1.2422</v>
      </c>
      <c r="X67" s="1" t="s">
        <v>18</v>
      </c>
      <c r="Y67" s="3" t="s">
        <v>17</v>
      </c>
      <c r="Z67" s="3">
        <v>93.568799999999996</v>
      </c>
      <c r="AA67" s="3" t="s">
        <v>18</v>
      </c>
      <c r="AB67" s="1" t="s">
        <v>17</v>
      </c>
      <c r="AC67" s="1">
        <v>0.13930000000000001</v>
      </c>
      <c r="AD67" s="1" t="s">
        <v>18</v>
      </c>
    </row>
    <row r="68" spans="1:30" ht="13" x14ac:dyDescent="0.15">
      <c r="A68" s="1" t="s">
        <v>19</v>
      </c>
      <c r="B68" s="1">
        <v>0.66390000000000005</v>
      </c>
      <c r="C68" s="1" t="s">
        <v>14</v>
      </c>
      <c r="D68" s="1" t="s">
        <v>19</v>
      </c>
      <c r="E68" s="1">
        <v>0.46139999999999998</v>
      </c>
      <c r="F68" s="1" t="s">
        <v>14</v>
      </c>
      <c r="G68" s="1" t="s">
        <v>19</v>
      </c>
      <c r="H68" s="1">
        <v>81.730199999999996</v>
      </c>
      <c r="I68" s="1" t="s">
        <v>18</v>
      </c>
      <c r="J68" s="1" t="s">
        <v>19</v>
      </c>
      <c r="K68" s="1">
        <v>11.9933</v>
      </c>
      <c r="L68" s="1" t="s">
        <v>18</v>
      </c>
      <c r="M68" s="1" t="s">
        <v>19</v>
      </c>
      <c r="N68" s="1">
        <v>0.1326</v>
      </c>
      <c r="O68" s="1" t="s">
        <v>18</v>
      </c>
      <c r="P68" s="1" t="s">
        <v>19</v>
      </c>
      <c r="Q68" s="1">
        <v>0.14219999999999999</v>
      </c>
      <c r="R68" s="1" t="s">
        <v>14</v>
      </c>
      <c r="S68" s="1" t="s">
        <v>19</v>
      </c>
      <c r="T68" s="1">
        <v>93.808000000000007</v>
      </c>
      <c r="U68" s="1" t="s">
        <v>18</v>
      </c>
      <c r="V68" s="1" t="s">
        <v>19</v>
      </c>
      <c r="W68" s="1">
        <v>7.6959</v>
      </c>
      <c r="X68" s="1" t="s">
        <v>18</v>
      </c>
      <c r="Y68" s="3" t="s">
        <v>19</v>
      </c>
      <c r="Z68" s="3">
        <v>57.292499999999997</v>
      </c>
      <c r="AA68" s="3" t="s">
        <v>18</v>
      </c>
      <c r="AB68" s="1" t="s">
        <v>19</v>
      </c>
      <c r="AC68" s="1">
        <v>0.76790000000000003</v>
      </c>
      <c r="AD68" s="1" t="s">
        <v>18</v>
      </c>
    </row>
    <row r="69" spans="1:30" ht="13" x14ac:dyDescent="0.15">
      <c r="A69" s="1" t="s">
        <v>20</v>
      </c>
      <c r="B69" s="1">
        <v>0.93110000000000004</v>
      </c>
      <c r="C69" s="1" t="s">
        <v>14</v>
      </c>
      <c r="D69" s="1" t="s">
        <v>20</v>
      </c>
      <c r="E69" s="1">
        <v>0.68130000000000002</v>
      </c>
      <c r="F69" s="1" t="s">
        <v>14</v>
      </c>
      <c r="G69" s="1" t="s">
        <v>20</v>
      </c>
      <c r="H69" s="1">
        <v>0.45329999999999998</v>
      </c>
      <c r="I69" s="1" t="s">
        <v>14</v>
      </c>
      <c r="J69" s="1" t="s">
        <v>20</v>
      </c>
      <c r="K69" s="1">
        <v>26.809200000000001</v>
      </c>
      <c r="L69" s="1" t="s">
        <v>18</v>
      </c>
      <c r="M69" s="1" t="s">
        <v>20</v>
      </c>
      <c r="N69" s="1">
        <v>0.19950000000000001</v>
      </c>
      <c r="O69" s="1" t="s">
        <v>18</v>
      </c>
      <c r="P69" s="1" t="s">
        <v>20</v>
      </c>
      <c r="Q69" s="1">
        <v>0.3659</v>
      </c>
      <c r="R69" s="1" t="s">
        <v>14</v>
      </c>
      <c r="S69" s="1" t="s">
        <v>20</v>
      </c>
      <c r="T69" s="1">
        <v>0.11020000000000001</v>
      </c>
      <c r="U69" s="1" t="s">
        <v>14</v>
      </c>
      <c r="V69" s="1" t="s">
        <v>20</v>
      </c>
      <c r="W69" s="1">
        <v>11.434900000000001</v>
      </c>
      <c r="X69" s="1" t="s">
        <v>18</v>
      </c>
      <c r="Y69" s="3" t="s">
        <v>20</v>
      </c>
      <c r="Z69" s="3">
        <v>85.755200000000002</v>
      </c>
      <c r="AA69" s="3" t="s">
        <v>18</v>
      </c>
      <c r="AB69" s="1" t="s">
        <v>20</v>
      </c>
      <c r="AC69" s="1">
        <v>1.0567</v>
      </c>
      <c r="AD69" s="1" t="s">
        <v>18</v>
      </c>
    </row>
    <row r="70" spans="1:30" ht="13" x14ac:dyDescent="0.15">
      <c r="A70" s="1" t="s">
        <v>21</v>
      </c>
      <c r="B70" s="1">
        <v>90.345500000000001</v>
      </c>
      <c r="C70" s="1" t="s">
        <v>18</v>
      </c>
      <c r="D70" s="1" t="s">
        <v>21</v>
      </c>
      <c r="E70" s="1">
        <v>82.630799999999994</v>
      </c>
      <c r="F70" s="1" t="s">
        <v>18</v>
      </c>
      <c r="G70" s="1" t="s">
        <v>21</v>
      </c>
      <c r="H70" s="1">
        <v>36.950400000000002</v>
      </c>
      <c r="I70" s="1" t="s">
        <v>18</v>
      </c>
      <c r="J70" s="1" t="s">
        <v>21</v>
      </c>
      <c r="K70" s="1">
        <v>2.4481999999999999</v>
      </c>
      <c r="L70" s="1" t="s">
        <v>18</v>
      </c>
      <c r="M70" s="1" t="s">
        <v>21</v>
      </c>
      <c r="N70" s="1">
        <v>36.819800000000001</v>
      </c>
      <c r="O70" s="1" t="s">
        <v>27</v>
      </c>
      <c r="P70" s="1" t="s">
        <v>21</v>
      </c>
      <c r="Q70" s="1">
        <v>21.233599999999999</v>
      </c>
      <c r="R70" s="1" t="s">
        <v>18</v>
      </c>
      <c r="S70" s="1" t="s">
        <v>21</v>
      </c>
      <c r="T70" s="1">
        <v>0.31480000000000002</v>
      </c>
      <c r="U70" s="1" t="s">
        <v>18</v>
      </c>
      <c r="V70" s="1" t="s">
        <v>21</v>
      </c>
      <c r="W70" s="1">
        <v>1.4553</v>
      </c>
      <c r="X70" s="1" t="s">
        <v>18</v>
      </c>
      <c r="Y70" s="3" t="s">
        <v>21</v>
      </c>
      <c r="Z70" s="3">
        <v>15.7407</v>
      </c>
      <c r="AA70" s="3" t="s">
        <v>18</v>
      </c>
      <c r="AB70" s="1" t="s">
        <v>21</v>
      </c>
      <c r="AC70" s="1">
        <v>94.998000000000005</v>
      </c>
      <c r="AD70" s="1" t="s">
        <v>27</v>
      </c>
    </row>
    <row r="71" spans="1:30" ht="13" x14ac:dyDescent="0.15">
      <c r="A71" s="1" t="s">
        <v>22</v>
      </c>
      <c r="B71" s="1">
        <v>82.891400000000004</v>
      </c>
      <c r="C71" s="1" t="s">
        <v>18</v>
      </c>
      <c r="D71" s="1" t="s">
        <v>22</v>
      </c>
      <c r="E71" s="1">
        <v>73.203699999999998</v>
      </c>
      <c r="F71" s="1" t="s">
        <v>18</v>
      </c>
      <c r="G71" s="1" t="s">
        <v>22</v>
      </c>
      <c r="H71" s="1">
        <v>33.878599999999999</v>
      </c>
      <c r="I71" s="1" t="s">
        <v>18</v>
      </c>
      <c r="J71" s="1" t="s">
        <v>22</v>
      </c>
      <c r="K71" s="1">
        <v>2.1970999999999998</v>
      </c>
      <c r="L71" s="1" t="s">
        <v>18</v>
      </c>
      <c r="M71" s="1" t="s">
        <v>22</v>
      </c>
      <c r="N71" s="1">
        <v>31.7864</v>
      </c>
      <c r="O71" s="1" t="s">
        <v>27</v>
      </c>
      <c r="P71" s="1" t="s">
        <v>22</v>
      </c>
      <c r="Q71" s="1">
        <v>19.348199999999999</v>
      </c>
      <c r="R71" s="1" t="s">
        <v>18</v>
      </c>
      <c r="S71" s="1" t="s">
        <v>22</v>
      </c>
      <c r="T71" s="1">
        <v>0.31259999999999999</v>
      </c>
      <c r="U71" s="1" t="s">
        <v>18</v>
      </c>
      <c r="V71" s="1" t="s">
        <v>22</v>
      </c>
      <c r="W71" s="1">
        <v>1.4107000000000001</v>
      </c>
      <c r="X71" s="1" t="s">
        <v>18</v>
      </c>
      <c r="Y71" s="3" t="s">
        <v>22</v>
      </c>
      <c r="Z71" s="3">
        <v>13.5664</v>
      </c>
      <c r="AA71" s="3" t="s">
        <v>18</v>
      </c>
      <c r="AB71" s="1" t="s">
        <v>22</v>
      </c>
      <c r="AC71" s="1">
        <v>92.103999999999999</v>
      </c>
      <c r="AD71" s="1" t="s">
        <v>27</v>
      </c>
    </row>
    <row r="72" spans="1:30" ht="13" x14ac:dyDescent="0.15">
      <c r="A72" s="1" t="s">
        <v>23</v>
      </c>
      <c r="B72" s="1">
        <v>0.1207</v>
      </c>
      <c r="C72" s="1" t="s">
        <v>14</v>
      </c>
      <c r="D72" s="1" t="s">
        <v>23</v>
      </c>
      <c r="E72" s="1">
        <v>0.13109999999999999</v>
      </c>
      <c r="F72" s="1" t="s">
        <v>14</v>
      </c>
      <c r="G72" s="1" t="s">
        <v>23</v>
      </c>
      <c r="H72" s="1">
        <v>0.26490000000000002</v>
      </c>
      <c r="I72" s="1" t="s">
        <v>14</v>
      </c>
      <c r="J72" s="1" t="s">
        <v>23</v>
      </c>
      <c r="K72" s="1">
        <v>7.5395000000000003</v>
      </c>
      <c r="L72" s="1" t="s">
        <v>18</v>
      </c>
      <c r="M72" s="1" t="s">
        <v>23</v>
      </c>
      <c r="N72" s="1">
        <v>54.597999999999999</v>
      </c>
      <c r="O72" s="1" t="s">
        <v>27</v>
      </c>
      <c r="P72" s="1" t="s">
        <v>23</v>
      </c>
      <c r="Q72" s="1">
        <v>0.14829999999999999</v>
      </c>
      <c r="R72" s="1" t="s">
        <v>14</v>
      </c>
      <c r="S72" s="1" t="s">
        <v>23</v>
      </c>
      <c r="T72" s="1">
        <v>16.4436</v>
      </c>
      <c r="U72" s="1" t="s">
        <v>27</v>
      </c>
      <c r="V72" s="1" t="s">
        <v>23</v>
      </c>
      <c r="W72" s="1">
        <v>0.97399999999999998</v>
      </c>
      <c r="X72" s="1" t="s">
        <v>18</v>
      </c>
      <c r="Y72" s="3" t="s">
        <v>23</v>
      </c>
      <c r="Z72" s="3">
        <v>23.406700000000001</v>
      </c>
      <c r="AA72" s="3" t="s">
        <v>18</v>
      </c>
      <c r="AB72" s="1" t="s">
        <v>23</v>
      </c>
      <c r="AC72" s="1">
        <v>63.017499999999998</v>
      </c>
      <c r="AD72" s="1" t="s">
        <v>27</v>
      </c>
    </row>
    <row r="73" spans="1:30" ht="13" x14ac:dyDescent="0.15">
      <c r="A73" s="1" t="s">
        <v>24</v>
      </c>
      <c r="B73" s="1">
        <v>0.98219999999999996</v>
      </c>
      <c r="C73" s="1" t="s">
        <v>14</v>
      </c>
      <c r="D73" s="1" t="s">
        <v>24</v>
      </c>
      <c r="E73" s="1">
        <v>0.6986</v>
      </c>
      <c r="F73" s="1" t="s">
        <v>14</v>
      </c>
      <c r="G73" s="1" t="s">
        <v>24</v>
      </c>
      <c r="H73" s="1">
        <v>83.176199999999994</v>
      </c>
      <c r="I73" s="1" t="s">
        <v>18</v>
      </c>
      <c r="J73" s="1" t="s">
        <v>24</v>
      </c>
      <c r="K73" s="1">
        <v>14.952</v>
      </c>
      <c r="L73" s="1" t="s">
        <v>18</v>
      </c>
      <c r="M73" s="1" t="s">
        <v>24</v>
      </c>
      <c r="N73" s="1">
        <v>0.18759999999999999</v>
      </c>
      <c r="O73" s="1" t="s">
        <v>18</v>
      </c>
      <c r="P73" s="1" t="s">
        <v>24</v>
      </c>
      <c r="Q73" s="1">
        <v>0.24149999999999999</v>
      </c>
      <c r="R73" s="1" t="s">
        <v>14</v>
      </c>
      <c r="S73" s="1" t="s">
        <v>24</v>
      </c>
      <c r="T73" s="1">
        <v>0.1918</v>
      </c>
      <c r="U73" s="1" t="s">
        <v>14</v>
      </c>
      <c r="V73" s="1" t="s">
        <v>24</v>
      </c>
      <c r="W73" s="1">
        <v>7.4467999999999996</v>
      </c>
      <c r="X73" s="1" t="s">
        <v>18</v>
      </c>
      <c r="Y73" s="3" t="s">
        <v>24</v>
      </c>
      <c r="Z73" s="3">
        <v>82.265600000000006</v>
      </c>
      <c r="AA73" s="3" t="s">
        <v>18</v>
      </c>
      <c r="AB73" s="1" t="s">
        <v>24</v>
      </c>
      <c r="AC73" s="1">
        <v>1.0343</v>
      </c>
      <c r="AD73" s="1" t="s">
        <v>18</v>
      </c>
    </row>
    <row r="74" spans="1:30" ht="13" x14ac:dyDescent="0.15">
      <c r="A74" s="1" t="s">
        <v>25</v>
      </c>
      <c r="B74" s="1">
        <v>31.181799999999999</v>
      </c>
      <c r="C74" s="1" t="s">
        <v>18</v>
      </c>
      <c r="D74" s="1" t="s">
        <v>25</v>
      </c>
      <c r="E74" s="1">
        <v>20.0259</v>
      </c>
      <c r="F74" s="1" t="s">
        <v>18</v>
      </c>
      <c r="G74" s="1" t="s">
        <v>25</v>
      </c>
      <c r="H74" s="1">
        <v>2.9376000000000002</v>
      </c>
      <c r="I74" s="1" t="s">
        <v>18</v>
      </c>
      <c r="J74" s="1" t="s">
        <v>25</v>
      </c>
      <c r="K74" s="1">
        <v>0.57969999999999999</v>
      </c>
      <c r="L74" s="1" t="s">
        <v>18</v>
      </c>
      <c r="M74" s="1" t="s">
        <v>25</v>
      </c>
      <c r="N74" s="1">
        <v>4.6367000000000003</v>
      </c>
      <c r="O74" s="1" t="s">
        <v>27</v>
      </c>
      <c r="P74" s="1" t="s">
        <v>25</v>
      </c>
      <c r="Q74" s="1">
        <v>7.6367000000000003</v>
      </c>
      <c r="R74" s="1" t="s">
        <v>18</v>
      </c>
      <c r="S74" s="1" t="s">
        <v>25</v>
      </c>
      <c r="T74" s="1">
        <v>5.6435000000000004</v>
      </c>
      <c r="U74" s="1" t="s">
        <v>18</v>
      </c>
      <c r="V74" s="1" t="s">
        <v>25</v>
      </c>
      <c r="W74" s="1">
        <v>0.27910000000000001</v>
      </c>
      <c r="X74" s="1" t="s">
        <v>18</v>
      </c>
      <c r="Y74" s="3" t="s">
        <v>25</v>
      </c>
      <c r="Z74" s="3">
        <v>2.0127999999999999</v>
      </c>
      <c r="AA74" s="3" t="s">
        <v>18</v>
      </c>
      <c r="AB74" s="1" t="s">
        <v>25</v>
      </c>
      <c r="AC74" s="1">
        <v>34.31</v>
      </c>
      <c r="AD74" s="1" t="s">
        <v>27</v>
      </c>
    </row>
    <row r="75" spans="1:30" ht="13" x14ac:dyDescent="0.15">
      <c r="A75" s="1" t="s">
        <v>26</v>
      </c>
      <c r="B75" s="1">
        <v>7.3529999999999998</v>
      </c>
      <c r="C75" s="1" t="s">
        <v>18</v>
      </c>
      <c r="D75" s="1" t="s">
        <v>26</v>
      </c>
      <c r="E75" s="1">
        <v>8.4047999999999998</v>
      </c>
      <c r="F75" s="1" t="s">
        <v>18</v>
      </c>
      <c r="G75" s="1" t="s">
        <v>26</v>
      </c>
      <c r="H75" s="1">
        <v>4.8956</v>
      </c>
      <c r="I75" s="1" t="s">
        <v>18</v>
      </c>
      <c r="J75" s="1" t="s">
        <v>26</v>
      </c>
      <c r="K75" s="1">
        <v>0.2379</v>
      </c>
      <c r="L75" s="1" t="s">
        <v>18</v>
      </c>
      <c r="M75" s="1" t="s">
        <v>26</v>
      </c>
      <c r="N75" s="1">
        <v>4.1273</v>
      </c>
      <c r="O75" s="1" t="s">
        <v>27</v>
      </c>
      <c r="P75" s="1" t="s">
        <v>26</v>
      </c>
      <c r="Q75" s="1">
        <v>2.8008000000000002</v>
      </c>
      <c r="R75" s="1" t="s">
        <v>18</v>
      </c>
      <c r="S75" s="1" t="s">
        <v>26</v>
      </c>
      <c r="T75" s="1">
        <v>60.987900000000003</v>
      </c>
      <c r="U75" s="1" t="s">
        <v>27</v>
      </c>
      <c r="V75" s="1" t="s">
        <v>26</v>
      </c>
      <c r="W75" s="1">
        <v>73.476900000000001</v>
      </c>
      <c r="X75" s="1" t="s">
        <v>27</v>
      </c>
      <c r="Y75" s="3" t="s">
        <v>26</v>
      </c>
      <c r="Z75" s="3">
        <v>1.784</v>
      </c>
      <c r="AA75" s="3" t="s">
        <v>18</v>
      </c>
      <c r="AB75" s="1" t="s">
        <v>26</v>
      </c>
      <c r="AC75" s="1">
        <v>4.9261999999999997</v>
      </c>
      <c r="AD75" s="1" t="s">
        <v>27</v>
      </c>
    </row>
    <row r="76" spans="1:30" ht="13" x14ac:dyDescent="0.15">
      <c r="A76" s="1" t="s">
        <v>28</v>
      </c>
      <c r="B76" s="1">
        <v>31.909400000000002</v>
      </c>
      <c r="C76" s="1" t="s">
        <v>18</v>
      </c>
      <c r="D76" s="1" t="s">
        <v>28</v>
      </c>
      <c r="E76" s="1">
        <v>21.121500000000001</v>
      </c>
      <c r="F76" s="1" t="s">
        <v>18</v>
      </c>
      <c r="G76" s="1" t="s">
        <v>28</v>
      </c>
      <c r="H76" s="1">
        <v>13.0974</v>
      </c>
      <c r="I76" s="1" t="s">
        <v>18</v>
      </c>
      <c r="J76" s="1" t="s">
        <v>28</v>
      </c>
      <c r="K76" s="1">
        <v>0.91059999999999997</v>
      </c>
      <c r="L76" s="1" t="s">
        <v>18</v>
      </c>
      <c r="M76" s="1" t="s">
        <v>28</v>
      </c>
      <c r="N76" s="1">
        <v>5.5734000000000004</v>
      </c>
      <c r="O76" s="1" t="s">
        <v>27</v>
      </c>
      <c r="P76" s="1" t="s">
        <v>28</v>
      </c>
      <c r="Q76" s="1">
        <v>7.5073999999999996</v>
      </c>
      <c r="R76" s="1" t="s">
        <v>18</v>
      </c>
      <c r="S76" s="1" t="s">
        <v>28</v>
      </c>
      <c r="T76" s="1">
        <v>0.13600000000000001</v>
      </c>
      <c r="U76" s="1" t="s">
        <v>18</v>
      </c>
      <c r="V76" s="1" t="s">
        <v>28</v>
      </c>
      <c r="W76" s="1">
        <v>0.88439999999999996</v>
      </c>
      <c r="X76" s="1" t="s">
        <v>18</v>
      </c>
      <c r="Y76" s="3" t="s">
        <v>28</v>
      </c>
      <c r="Z76" s="3">
        <v>2.3791000000000002</v>
      </c>
      <c r="AA76" s="3" t="s">
        <v>18</v>
      </c>
      <c r="AB76" s="1" t="s">
        <v>28</v>
      </c>
      <c r="AC76" s="1">
        <v>57.567599999999999</v>
      </c>
      <c r="AD76" s="1" t="s">
        <v>27</v>
      </c>
    </row>
    <row r="77" spans="1:30" ht="13" x14ac:dyDescent="0.15">
      <c r="A77" s="1" t="s">
        <v>29</v>
      </c>
      <c r="D77" s="1" t="s">
        <v>29</v>
      </c>
      <c r="G77" s="1" t="s">
        <v>29</v>
      </c>
      <c r="J77" s="1" t="s">
        <v>29</v>
      </c>
      <c r="M77" s="1" t="s">
        <v>29</v>
      </c>
      <c r="P77" s="1" t="s">
        <v>29</v>
      </c>
      <c r="S77" s="1" t="s">
        <v>29</v>
      </c>
      <c r="V77" s="1" t="s">
        <v>29</v>
      </c>
      <c r="Y77" s="3" t="s">
        <v>29</v>
      </c>
      <c r="Z77" s="3"/>
      <c r="AA77" s="3"/>
      <c r="AB77" s="1" t="s">
        <v>29</v>
      </c>
    </row>
    <row r="78" spans="1:30" ht="13" x14ac:dyDescent="0.15">
      <c r="A78" s="1" t="s">
        <v>30</v>
      </c>
      <c r="B78" s="1">
        <v>1.2564</v>
      </c>
      <c r="C78" s="1" t="s">
        <v>13</v>
      </c>
      <c r="D78" s="1" t="s">
        <v>30</v>
      </c>
      <c r="E78" s="1">
        <v>1.0004</v>
      </c>
      <c r="F78" s="1" t="s">
        <v>13</v>
      </c>
      <c r="G78" s="1" t="s">
        <v>30</v>
      </c>
      <c r="H78" s="1">
        <v>71.031099999999995</v>
      </c>
      <c r="I78" s="1" t="s">
        <v>14</v>
      </c>
      <c r="J78" s="1" t="s">
        <v>30</v>
      </c>
      <c r="K78" s="1">
        <v>25.874700000000001</v>
      </c>
      <c r="L78" s="1" t="s">
        <v>14</v>
      </c>
      <c r="M78" s="1" t="s">
        <v>30</v>
      </c>
      <c r="N78" s="1">
        <v>0.37740000000000001</v>
      </c>
      <c r="O78" s="1" t="s">
        <v>14</v>
      </c>
      <c r="P78" s="1" t="s">
        <v>30</v>
      </c>
      <c r="Q78" s="1">
        <v>58.5501</v>
      </c>
      <c r="R78" s="1" t="s">
        <v>14</v>
      </c>
      <c r="S78" s="1" t="s">
        <v>30</v>
      </c>
      <c r="T78" s="1">
        <v>15.5487</v>
      </c>
      <c r="U78" s="1" t="s">
        <v>14</v>
      </c>
      <c r="V78" s="1" t="s">
        <v>30</v>
      </c>
      <c r="W78" s="1">
        <v>29.039200000000001</v>
      </c>
      <c r="X78" s="1" t="s">
        <v>14</v>
      </c>
      <c r="Y78" s="3" t="s">
        <v>30</v>
      </c>
      <c r="Z78" s="3">
        <v>0.1628</v>
      </c>
      <c r="AA78" s="3" t="s">
        <v>13</v>
      </c>
      <c r="AB78" s="1" t="s">
        <v>30</v>
      </c>
      <c r="AC78" s="1">
        <v>1.9222999999999999</v>
      </c>
      <c r="AD78" s="1" t="s">
        <v>14</v>
      </c>
    </row>
    <row r="79" spans="1:30" ht="13" x14ac:dyDescent="0.15">
      <c r="A79" s="1" t="s">
        <v>31</v>
      </c>
      <c r="B79" s="1">
        <v>1.3081</v>
      </c>
      <c r="C79" s="1" t="s">
        <v>13</v>
      </c>
      <c r="D79" s="1" t="s">
        <v>31</v>
      </c>
      <c r="E79" s="1">
        <v>1.0371999999999999</v>
      </c>
      <c r="F79" s="1" t="s">
        <v>13</v>
      </c>
      <c r="G79" s="1" t="s">
        <v>31</v>
      </c>
      <c r="H79" s="1">
        <v>75.414500000000004</v>
      </c>
      <c r="I79" s="1" t="s">
        <v>14</v>
      </c>
      <c r="J79" s="1" t="s">
        <v>31</v>
      </c>
      <c r="K79" s="1">
        <v>26.662600000000001</v>
      </c>
      <c r="L79" s="1" t="s">
        <v>14</v>
      </c>
      <c r="M79" s="1" t="s">
        <v>31</v>
      </c>
      <c r="N79" s="1">
        <v>0.38729999999999998</v>
      </c>
      <c r="O79" s="1" t="s">
        <v>14</v>
      </c>
      <c r="P79" s="1" t="s">
        <v>31</v>
      </c>
      <c r="Q79" s="1">
        <v>71.278599999999997</v>
      </c>
      <c r="R79" s="1" t="s">
        <v>14</v>
      </c>
      <c r="S79" s="1" t="s">
        <v>31</v>
      </c>
      <c r="T79" s="1">
        <v>25.658999999999999</v>
      </c>
      <c r="U79" s="1" t="s">
        <v>14</v>
      </c>
      <c r="V79" s="1" t="s">
        <v>31</v>
      </c>
      <c r="W79" s="1">
        <v>29.431699999999999</v>
      </c>
      <c r="X79" s="1" t="s">
        <v>14</v>
      </c>
      <c r="Y79" s="3" t="s">
        <v>31</v>
      </c>
      <c r="Z79" s="3">
        <v>0.1671</v>
      </c>
      <c r="AA79" s="3" t="s">
        <v>13</v>
      </c>
      <c r="AB79" s="1" t="s">
        <v>31</v>
      </c>
      <c r="AC79" s="1">
        <v>1.9767999999999999</v>
      </c>
      <c r="AD79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7FFE-0E5C-344B-9085-47E513C1D4A5}">
  <dimension ref="A1:F20"/>
  <sheetViews>
    <sheetView zoomScale="108" workbookViewId="0">
      <selection activeCell="C12" sqref="C12:C15"/>
    </sheetView>
  </sheetViews>
  <sheetFormatPr baseColWidth="10" defaultColWidth="11.5" defaultRowHeight="13" x14ac:dyDescent="0.15"/>
  <cols>
    <col min="1" max="1" width="29.1640625" customWidth="1"/>
    <col min="2" max="2" width="7.5" customWidth="1"/>
    <col min="3" max="6" width="20.83203125" customWidth="1"/>
  </cols>
  <sheetData>
    <row r="1" spans="1:6" ht="66" customHeight="1" x14ac:dyDescent="0.15">
      <c r="A1" s="16" t="s">
        <v>78</v>
      </c>
      <c r="B1" s="17"/>
      <c r="C1" s="17"/>
      <c r="D1" s="17"/>
      <c r="E1" s="17"/>
      <c r="F1" s="17"/>
    </row>
    <row r="2" spans="1:6" ht="14" thickBot="1" x14ac:dyDescent="0.2"/>
    <row r="3" spans="1:6" ht="28" customHeight="1" x14ac:dyDescent="0.15">
      <c r="A3" s="4" t="s">
        <v>79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</row>
    <row r="4" spans="1:6" ht="28" customHeight="1" thickBot="1" x14ac:dyDescent="0.2">
      <c r="A4" s="18"/>
      <c r="B4" s="19"/>
      <c r="C4" s="20" t="s">
        <v>85</v>
      </c>
      <c r="D4" s="20" t="s">
        <v>86</v>
      </c>
      <c r="E4" s="20" t="s">
        <v>87</v>
      </c>
      <c r="F4" s="20" t="s">
        <v>88</v>
      </c>
    </row>
    <row r="5" spans="1:6" ht="18" customHeight="1" x14ac:dyDescent="0.15">
      <c r="A5" s="6" t="s">
        <v>89</v>
      </c>
      <c r="B5" s="7" t="s">
        <v>13</v>
      </c>
      <c r="C5" s="8">
        <v>3.9</v>
      </c>
      <c r="D5" s="8">
        <v>3.9</v>
      </c>
      <c r="E5" s="8">
        <v>3.9</v>
      </c>
      <c r="F5" s="8">
        <v>3.9</v>
      </c>
    </row>
    <row r="6" spans="1:6" ht="18" customHeight="1" x14ac:dyDescent="0.15">
      <c r="A6" s="9" t="s">
        <v>90</v>
      </c>
      <c r="B6" s="10" t="s">
        <v>13</v>
      </c>
      <c r="C6" s="11">
        <v>0.7</v>
      </c>
      <c r="D6" s="11">
        <v>0.7</v>
      </c>
      <c r="E6" s="11">
        <v>0.7</v>
      </c>
      <c r="F6" s="11">
        <v>0.7</v>
      </c>
    </row>
    <row r="7" spans="1:6" ht="18" customHeight="1" x14ac:dyDescent="0.15">
      <c r="A7" s="6" t="s">
        <v>91</v>
      </c>
      <c r="B7" s="7" t="s">
        <v>13</v>
      </c>
      <c r="C7" s="8">
        <v>30.96</v>
      </c>
      <c r="D7" s="8">
        <v>30.96</v>
      </c>
      <c r="E7" s="8">
        <v>30.96</v>
      </c>
      <c r="F7" s="8">
        <v>30.96</v>
      </c>
    </row>
    <row r="8" spans="1:6" ht="18" customHeight="1" x14ac:dyDescent="0.15">
      <c r="A8" s="9" t="s">
        <v>92</v>
      </c>
      <c r="B8" s="10" t="s">
        <v>13</v>
      </c>
      <c r="C8" s="11">
        <v>41.49</v>
      </c>
      <c r="D8" s="11">
        <v>41.49</v>
      </c>
      <c r="E8" s="11">
        <v>41.49</v>
      </c>
      <c r="F8" s="11">
        <v>41.49</v>
      </c>
    </row>
    <row r="9" spans="1:6" ht="18" customHeight="1" x14ac:dyDescent="0.15">
      <c r="A9" s="6" t="s">
        <v>93</v>
      </c>
      <c r="B9" s="7" t="s">
        <v>13</v>
      </c>
      <c r="C9" s="8">
        <v>1.46</v>
      </c>
      <c r="D9" s="8">
        <v>1.46</v>
      </c>
      <c r="E9" s="8">
        <v>1.46</v>
      </c>
      <c r="F9" s="8">
        <v>1.46</v>
      </c>
    </row>
    <row r="10" spans="1:6" ht="18" customHeight="1" x14ac:dyDescent="0.15">
      <c r="A10" s="9" t="s">
        <v>94</v>
      </c>
      <c r="B10" s="10" t="s">
        <v>13</v>
      </c>
      <c r="C10" s="11">
        <v>6.51</v>
      </c>
      <c r="D10" s="11">
        <v>6.51</v>
      </c>
      <c r="E10" s="11">
        <v>6.51</v>
      </c>
      <c r="F10" s="11">
        <v>6.51</v>
      </c>
    </row>
    <row r="11" spans="1:6" ht="18" customHeight="1" x14ac:dyDescent="0.15">
      <c r="A11" s="6" t="s">
        <v>95</v>
      </c>
      <c r="B11" s="7" t="s">
        <v>13</v>
      </c>
      <c r="C11" s="8">
        <v>86.91</v>
      </c>
      <c r="D11" s="8">
        <v>86.91</v>
      </c>
      <c r="E11" s="8">
        <v>86.91</v>
      </c>
      <c r="F11" s="8">
        <v>86.91</v>
      </c>
    </row>
    <row r="12" spans="1:6" ht="18" customHeight="1" x14ac:dyDescent="0.15">
      <c r="A12" s="9" t="s">
        <v>96</v>
      </c>
      <c r="B12" s="10" t="s">
        <v>97</v>
      </c>
      <c r="C12" s="10" t="s">
        <v>98</v>
      </c>
      <c r="D12" s="10" t="s">
        <v>98</v>
      </c>
      <c r="E12" s="11">
        <v>0</v>
      </c>
      <c r="F12" s="11">
        <v>0</v>
      </c>
    </row>
    <row r="13" spans="1:6" ht="18" customHeight="1" x14ac:dyDescent="0.15">
      <c r="A13" s="6" t="s">
        <v>99</v>
      </c>
      <c r="B13" s="7" t="s">
        <v>100</v>
      </c>
      <c r="C13" s="12">
        <v>784.4</v>
      </c>
      <c r="D13" s="12">
        <v>784.4</v>
      </c>
      <c r="E13" s="7">
        <v>2221</v>
      </c>
      <c r="F13" s="7">
        <v>1359</v>
      </c>
    </row>
    <row r="14" spans="1:6" ht="18" customHeight="1" x14ac:dyDescent="0.15">
      <c r="A14" s="9" t="s">
        <v>101</v>
      </c>
      <c r="B14" s="10" t="s">
        <v>102</v>
      </c>
      <c r="C14" s="13">
        <v>130.6</v>
      </c>
      <c r="D14" s="13">
        <v>130.6</v>
      </c>
      <c r="E14" s="10">
        <v>0</v>
      </c>
      <c r="F14" s="10">
        <v>0</v>
      </c>
    </row>
    <row r="15" spans="1:6" ht="18" customHeight="1" x14ac:dyDescent="0.15">
      <c r="A15" s="6" t="s">
        <v>103</v>
      </c>
      <c r="B15" s="7" t="s">
        <v>100</v>
      </c>
      <c r="C15" s="7" t="s">
        <v>104</v>
      </c>
      <c r="D15" s="7" t="s">
        <v>104</v>
      </c>
      <c r="E15" s="7" t="s">
        <v>105</v>
      </c>
      <c r="F15" s="7" t="s">
        <v>105</v>
      </c>
    </row>
    <row r="16" spans="1:6" ht="18" customHeight="1" thickBot="1" x14ac:dyDescent="0.2">
      <c r="A16" s="14" t="s">
        <v>106</v>
      </c>
      <c r="B16" s="15" t="s">
        <v>97</v>
      </c>
      <c r="C16" s="26">
        <v>967.5</v>
      </c>
      <c r="D16" s="26">
        <v>1256</v>
      </c>
      <c r="E16" s="26">
        <v>1256</v>
      </c>
      <c r="F16" s="26">
        <v>1256</v>
      </c>
    </row>
    <row r="17" spans="1:6" ht="28" customHeight="1" x14ac:dyDescent="0.15">
      <c r="A17" s="21"/>
      <c r="B17" s="22"/>
      <c r="C17" s="22"/>
      <c r="D17" s="22"/>
      <c r="E17" s="22"/>
      <c r="F17" s="22"/>
    </row>
    <row r="18" spans="1:6" ht="28" customHeight="1" x14ac:dyDescent="0.15">
      <c r="A18" s="23"/>
      <c r="B18" s="22"/>
      <c r="C18" s="22"/>
      <c r="D18" s="22"/>
      <c r="E18" s="22"/>
      <c r="F18" s="22"/>
    </row>
    <row r="19" spans="1:6" ht="28" customHeight="1" x14ac:dyDescent="0.15">
      <c r="A19" s="23"/>
      <c r="B19" s="22"/>
      <c r="C19" s="22"/>
      <c r="D19" s="22"/>
      <c r="E19" s="22"/>
      <c r="F19" s="22"/>
    </row>
    <row r="20" spans="1:6" ht="28" customHeight="1" x14ac:dyDescent="0.15">
      <c r="A20" s="23"/>
      <c r="B20" s="22"/>
      <c r="C20" s="22"/>
      <c r="D20" s="22"/>
      <c r="E20" s="22"/>
      <c r="F2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DFE4-A0A3-0942-B8E0-4FC3EA810739}">
  <dimension ref="A1:C37"/>
  <sheetViews>
    <sheetView topLeftCell="A3" zoomScale="156" workbookViewId="0">
      <selection activeCell="A16" sqref="A16:C20"/>
    </sheetView>
  </sheetViews>
  <sheetFormatPr baseColWidth="10" defaultRowHeight="13" x14ac:dyDescent="0.15"/>
  <cols>
    <col min="1" max="1" width="10.6640625" customWidth="1"/>
    <col min="2" max="2" width="11.1640625" bestFit="1" customWidth="1"/>
    <col min="3" max="3" width="11" bestFit="1" customWidth="1"/>
  </cols>
  <sheetData>
    <row r="1" spans="1:3" ht="14" x14ac:dyDescent="0.15">
      <c r="A1" s="55" t="s">
        <v>158</v>
      </c>
      <c r="B1" s="55"/>
      <c r="C1" s="55"/>
    </row>
    <row r="2" spans="1:3" x14ac:dyDescent="0.15">
      <c r="B2" t="s">
        <v>155</v>
      </c>
      <c r="C2" t="s">
        <v>157</v>
      </c>
    </row>
    <row r="3" spans="1:3" x14ac:dyDescent="0.15">
      <c r="B3" t="s">
        <v>153</v>
      </c>
      <c r="C3" t="s">
        <v>156</v>
      </c>
    </row>
    <row r="4" spans="1:3" x14ac:dyDescent="0.15">
      <c r="A4" t="s">
        <v>17</v>
      </c>
      <c r="B4">
        <v>2.54</v>
      </c>
      <c r="C4">
        <v>41.5</v>
      </c>
    </row>
    <row r="5" spans="1:3" x14ac:dyDescent="0.15">
      <c r="A5" t="s">
        <v>19</v>
      </c>
      <c r="B5">
        <v>22.21</v>
      </c>
      <c r="C5">
        <v>200.11</v>
      </c>
    </row>
    <row r="6" spans="1:3" x14ac:dyDescent="0.15">
      <c r="A6" t="s">
        <v>20</v>
      </c>
      <c r="B6">
        <v>36.4</v>
      </c>
      <c r="C6">
        <v>434.31</v>
      </c>
    </row>
    <row r="7" spans="1:3" x14ac:dyDescent="0.15">
      <c r="A7" t="s">
        <v>21</v>
      </c>
      <c r="B7">
        <v>3.5070000000000001</v>
      </c>
      <c r="C7">
        <v>29.83</v>
      </c>
    </row>
    <row r="8" spans="1:3" x14ac:dyDescent="0.15">
      <c r="A8" t="s">
        <v>22</v>
      </c>
      <c r="B8">
        <v>3.5070000000000001</v>
      </c>
      <c r="C8">
        <v>28.935099999999998</v>
      </c>
    </row>
    <row r="9" spans="1:3" x14ac:dyDescent="0.15">
      <c r="A9" t="s">
        <v>23</v>
      </c>
      <c r="B9">
        <v>0.26856561546286878</v>
      </c>
      <c r="C9">
        <v>0.54242117555469049</v>
      </c>
    </row>
    <row r="10" spans="1:3" x14ac:dyDescent="0.15">
      <c r="A10" t="s">
        <v>26</v>
      </c>
      <c r="B10">
        <v>0.57865500000000003</v>
      </c>
      <c r="C10">
        <v>16.290461299999997</v>
      </c>
    </row>
    <row r="11" spans="1:3" x14ac:dyDescent="0.15">
      <c r="A11" t="s">
        <v>154</v>
      </c>
      <c r="B11">
        <v>1.5009959999999998</v>
      </c>
      <c r="C11">
        <v>10.098349899999999</v>
      </c>
    </row>
    <row r="12" spans="1:3" x14ac:dyDescent="0.15">
      <c r="A12" t="s">
        <v>24</v>
      </c>
      <c r="B12">
        <v>1.06</v>
      </c>
      <c r="C12">
        <v>0.62999999523162842</v>
      </c>
    </row>
    <row r="13" spans="1:3" x14ac:dyDescent="0.15">
      <c r="A13" t="s">
        <v>25</v>
      </c>
      <c r="B13">
        <v>0.75</v>
      </c>
      <c r="C13">
        <v>0.92000001668930043</v>
      </c>
    </row>
    <row r="14" spans="1:3" x14ac:dyDescent="0.15">
      <c r="A14" t="s">
        <v>15</v>
      </c>
      <c r="B14">
        <v>59366.949503269869</v>
      </c>
      <c r="C14">
        <v>77753.520071052437</v>
      </c>
    </row>
    <row r="16" spans="1:3" x14ac:dyDescent="0.15">
      <c r="B16" s="59" t="s">
        <v>160</v>
      </c>
      <c r="C16" s="3" t="s">
        <v>163</v>
      </c>
    </row>
    <row r="17" spans="1:3" x14ac:dyDescent="0.15">
      <c r="A17" s="54" t="s">
        <v>159</v>
      </c>
      <c r="B17" s="56">
        <v>128450</v>
      </c>
      <c r="C17" s="60">
        <v>33932.92</v>
      </c>
    </row>
    <row r="19" spans="1:3" x14ac:dyDescent="0.15">
      <c r="A19" s="57" t="s">
        <v>161</v>
      </c>
      <c r="B19" s="58" t="s">
        <v>162</v>
      </c>
      <c r="C19" s="3" t="s">
        <v>164</v>
      </c>
    </row>
    <row r="20" spans="1:3" x14ac:dyDescent="0.15">
      <c r="A20" s="54" t="s">
        <v>116</v>
      </c>
      <c r="B20" s="56">
        <v>983</v>
      </c>
      <c r="C20" s="61">
        <v>34714.370000000003</v>
      </c>
    </row>
    <row r="22" spans="1:3" ht="14" x14ac:dyDescent="0.15">
      <c r="A22" s="55" t="s">
        <v>165</v>
      </c>
      <c r="B22" s="55"/>
      <c r="C22" s="55"/>
    </row>
    <row r="23" spans="1:3" x14ac:dyDescent="0.15">
      <c r="B23" t="s">
        <v>155</v>
      </c>
      <c r="C23" t="s">
        <v>157</v>
      </c>
    </row>
    <row r="24" spans="1:3" x14ac:dyDescent="0.15">
      <c r="B24" s="3" t="s">
        <v>153</v>
      </c>
      <c r="C24" s="3" t="s">
        <v>156</v>
      </c>
    </row>
    <row r="25" spans="1:3" x14ac:dyDescent="0.15">
      <c r="A25" t="s">
        <v>17</v>
      </c>
      <c r="B25">
        <f>B4*C20/1000000</f>
        <v>8.81744998E-2</v>
      </c>
      <c r="C25">
        <f>C4*C17/1000000</f>
        <v>1.4082161799999999</v>
      </c>
    </row>
    <row r="26" spans="1:3" x14ac:dyDescent="0.15">
      <c r="A26" t="s">
        <v>19</v>
      </c>
      <c r="B26">
        <f>B5*C20/1000000</f>
        <v>0.77100615770000014</v>
      </c>
      <c r="C26">
        <f>C5*C17/1000000</f>
        <v>6.7903166211999997</v>
      </c>
    </row>
    <row r="27" spans="1:3" x14ac:dyDescent="0.15">
      <c r="A27" t="s">
        <v>20</v>
      </c>
      <c r="B27">
        <f>B6*C20/1000000</f>
        <v>1.2636030679999999</v>
      </c>
      <c r="C27">
        <f>C6*C17/1000000</f>
        <v>14.737406485199999</v>
      </c>
    </row>
    <row r="28" spans="1:3" x14ac:dyDescent="0.15">
      <c r="A28" t="s">
        <v>21</v>
      </c>
      <c r="B28">
        <f>B7*C20/1000000</f>
        <v>0.12174329559000001</v>
      </c>
      <c r="C28">
        <f>C7*C17/1000000</f>
        <v>1.0122190035999998</v>
      </c>
    </row>
    <row r="29" spans="1:3" x14ac:dyDescent="0.15">
      <c r="A29" t="s">
        <v>22</v>
      </c>
      <c r="B29">
        <f>B8*C20/1000000</f>
        <v>0.12174329559000001</v>
      </c>
      <c r="C29">
        <f>C8*C17/1000000</f>
        <v>0.98185243349199991</v>
      </c>
    </row>
    <row r="30" spans="1:3" x14ac:dyDescent="0.15">
      <c r="A30" t="s">
        <v>23</v>
      </c>
      <c r="B30">
        <f>B9*C20/1000000</f>
        <v>9.323086144455749E-3</v>
      </c>
      <c r="C30">
        <f>C9*C17/1000000</f>
        <v>1.8405934356403267E-2</v>
      </c>
    </row>
    <row r="31" spans="1:3" x14ac:dyDescent="0.15">
      <c r="A31" t="s">
        <v>26</v>
      </c>
      <c r="B31">
        <f>B10*C20/1000000</f>
        <v>2.0087643772350002E-2</v>
      </c>
      <c r="C31">
        <f>C10*C17/1000000</f>
        <v>0.55278292005599583</v>
      </c>
    </row>
    <row r="32" spans="1:3" x14ac:dyDescent="0.15">
      <c r="A32" t="s">
        <v>154</v>
      </c>
      <c r="B32">
        <f>B11*C20/1000000</f>
        <v>5.2106130512519992E-2</v>
      </c>
      <c r="C32">
        <f>C11*C17/1000000</f>
        <v>0.3426664992887079</v>
      </c>
    </row>
    <row r="33" spans="1:3" x14ac:dyDescent="0.15">
      <c r="A33" t="s">
        <v>24</v>
      </c>
      <c r="B33">
        <f>B12*C20/1000000</f>
        <v>3.6797232200000009E-2</v>
      </c>
      <c r="C33">
        <f>C12*C17/1000000</f>
        <v>2.137773943819523E-2</v>
      </c>
    </row>
    <row r="34" spans="1:3" x14ac:dyDescent="0.15">
      <c r="A34" t="s">
        <v>25</v>
      </c>
      <c r="B34">
        <f>B13*C20/1000000</f>
        <v>2.6035777500000003E-2</v>
      </c>
      <c r="C34">
        <f>C13*C17/1000000</f>
        <v>3.1218286966316695E-2</v>
      </c>
    </row>
    <row r="35" spans="1:3" x14ac:dyDescent="0.15">
      <c r="A35" t="s">
        <v>15</v>
      </c>
      <c r="B35">
        <f>B14*C20/1000000</f>
        <v>2060.8862508278266</v>
      </c>
      <c r="C35">
        <f>C14*C17/1000000</f>
        <v>2638.4039762894163</v>
      </c>
    </row>
    <row r="37" spans="1:3" x14ac:dyDescent="0.15">
      <c r="A37" s="3" t="s">
        <v>166</v>
      </c>
      <c r="B37">
        <f>B33*29.8+B34*273+B35*1</f>
        <v>2069.0905756048865</v>
      </c>
      <c r="C37">
        <f>C33*29.8+C34*273+C35*1</f>
        <v>2647.563625266479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F2F0-B253-8446-A5AA-1ECC8A87B09B}">
  <dimension ref="A1:AH53"/>
  <sheetViews>
    <sheetView tabSelected="1" zoomScale="133" workbookViewId="0">
      <pane xSplit="1" topLeftCell="B1" activePane="topRight" state="frozen"/>
      <selection pane="topRight" activeCell="I15" sqref="I15"/>
    </sheetView>
  </sheetViews>
  <sheetFormatPr baseColWidth="10" defaultColWidth="11.5" defaultRowHeight="13" x14ac:dyDescent="0.15"/>
  <cols>
    <col min="1" max="1" width="23.33203125" customWidth="1"/>
    <col min="2" max="2" width="5.83203125" customWidth="1"/>
    <col min="3" max="3" width="8.33203125" customWidth="1"/>
    <col min="4" max="5" width="13.33203125" customWidth="1"/>
    <col min="6" max="6" width="10.83203125" style="54" customWidth="1"/>
    <col min="7" max="7" width="15.83203125" customWidth="1"/>
    <col min="8" max="8" width="10.83203125" customWidth="1"/>
    <col min="9" max="9" width="15.83203125" customWidth="1"/>
    <col min="10" max="10" width="10.83203125" customWidth="1"/>
    <col min="11" max="11" width="15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10.83203125" customWidth="1"/>
    <col min="17" max="17" width="15.83203125" customWidth="1"/>
    <col min="18" max="18" width="10.83203125" customWidth="1"/>
    <col min="19" max="19" width="15.83203125" customWidth="1"/>
    <col min="20" max="20" width="10.83203125" customWidth="1"/>
    <col min="21" max="21" width="15.83203125" customWidth="1"/>
    <col min="22" max="22" width="10.83203125" customWidth="1"/>
    <col min="23" max="23" width="15.83203125" customWidth="1"/>
  </cols>
  <sheetData>
    <row r="1" spans="1:25" ht="15" customHeight="1" thickBot="1" x14ac:dyDescent="0.2">
      <c r="A1" s="73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5" ht="35" customHeight="1" thickTop="1" x14ac:dyDescent="0.15">
      <c r="A2" s="45"/>
      <c r="B2" s="30"/>
      <c r="C2" s="70" t="s">
        <v>152</v>
      </c>
      <c r="D2" s="70"/>
      <c r="E2" s="71"/>
      <c r="F2" s="68" t="s">
        <v>191</v>
      </c>
      <c r="G2" s="69"/>
      <c r="H2" s="70" t="s">
        <v>143</v>
      </c>
      <c r="I2" s="69"/>
      <c r="J2" s="78" t="s">
        <v>144</v>
      </c>
      <c r="K2" s="69"/>
      <c r="L2" s="78" t="s">
        <v>145</v>
      </c>
      <c r="M2" s="69"/>
      <c r="N2" s="78" t="s">
        <v>146</v>
      </c>
      <c r="O2" s="69"/>
      <c r="P2" s="78" t="s">
        <v>147</v>
      </c>
      <c r="Q2" s="69"/>
      <c r="R2" s="78" t="s">
        <v>149</v>
      </c>
      <c r="S2" s="69"/>
      <c r="T2" s="78" t="s">
        <v>150</v>
      </c>
      <c r="U2" s="69"/>
      <c r="V2" s="70" t="s">
        <v>177</v>
      </c>
      <c r="W2" s="69"/>
      <c r="X2" s="70" t="s">
        <v>192</v>
      </c>
      <c r="Y2" s="69"/>
    </row>
    <row r="3" spans="1:25" ht="22" customHeight="1" x14ac:dyDescent="0.15">
      <c r="A3" s="31" t="s">
        <v>79</v>
      </c>
      <c r="B3" s="32" t="s">
        <v>80</v>
      </c>
      <c r="C3" s="32" t="s">
        <v>140</v>
      </c>
      <c r="D3" s="32" t="s">
        <v>141</v>
      </c>
      <c r="E3" s="32" t="s">
        <v>142</v>
      </c>
      <c r="F3" s="49" t="s">
        <v>167</v>
      </c>
      <c r="G3" s="32" t="s">
        <v>107</v>
      </c>
      <c r="H3" s="39" t="s">
        <v>168</v>
      </c>
      <c r="I3" s="32" t="s">
        <v>108</v>
      </c>
      <c r="J3" s="39" t="s">
        <v>169</v>
      </c>
      <c r="K3" s="32" t="s">
        <v>109</v>
      </c>
      <c r="L3" s="39" t="s">
        <v>170</v>
      </c>
      <c r="M3" s="32" t="s">
        <v>110</v>
      </c>
      <c r="N3" s="39" t="s">
        <v>171</v>
      </c>
      <c r="O3" s="32" t="s">
        <v>124</v>
      </c>
      <c r="P3" s="39" t="s">
        <v>172</v>
      </c>
      <c r="Q3" s="32" t="s">
        <v>125</v>
      </c>
      <c r="R3" s="39" t="s">
        <v>173</v>
      </c>
      <c r="S3" s="32" t="s">
        <v>126</v>
      </c>
      <c r="T3" s="39" t="s">
        <v>174</v>
      </c>
      <c r="U3" s="42" t="s">
        <v>127</v>
      </c>
      <c r="V3" s="39" t="s">
        <v>168</v>
      </c>
      <c r="W3" s="32" t="s">
        <v>108</v>
      </c>
      <c r="X3" s="39" t="s">
        <v>178</v>
      </c>
      <c r="Y3" s="32" t="s">
        <v>179</v>
      </c>
    </row>
    <row r="4" spans="1:25" ht="16" customHeight="1" x14ac:dyDescent="0.15">
      <c r="A4" s="76" t="s">
        <v>111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</row>
    <row r="5" spans="1:25" ht="14" customHeight="1" x14ac:dyDescent="0.15">
      <c r="A5" s="28" t="s">
        <v>89</v>
      </c>
      <c r="B5" s="29" t="s">
        <v>13</v>
      </c>
      <c r="C5" s="46">
        <v>23.8447</v>
      </c>
      <c r="D5" s="29" t="s">
        <v>128</v>
      </c>
      <c r="E5" s="46">
        <v>15.8919</v>
      </c>
      <c r="F5" s="50">
        <v>3.9</v>
      </c>
      <c r="G5" s="29">
        <f t="shared" ref="G5:G10" si="0">ROUND(F5*C5,2)</f>
        <v>92.99</v>
      </c>
      <c r="H5" s="40">
        <v>3.9</v>
      </c>
      <c r="I5" s="29">
        <f t="shared" ref="I5:I10" si="1">ROUND(H5*E5,2)</f>
        <v>61.98</v>
      </c>
      <c r="J5" s="40">
        <f t="shared" ref="J5:J10" si="2">H5</f>
        <v>3.9</v>
      </c>
      <c r="K5" s="29">
        <f t="shared" ref="K5:K10" si="3">ROUND(J5*E5,2)</f>
        <v>61.98</v>
      </c>
      <c r="L5" s="40">
        <f t="shared" ref="L5:L10" si="4">H5</f>
        <v>3.9</v>
      </c>
      <c r="M5" s="29">
        <f t="shared" ref="M5:M10" si="5">ROUND(L5*E5,2)</f>
        <v>61.98</v>
      </c>
      <c r="N5" s="40">
        <f t="shared" ref="N5:N14" si="6">J5</f>
        <v>3.9</v>
      </c>
      <c r="O5" s="29">
        <f t="shared" ref="O5:O10" si="7">ROUND(N5*E5,2)</f>
        <v>61.98</v>
      </c>
      <c r="P5" s="40">
        <f t="shared" ref="P5:P14" si="8">L5</f>
        <v>3.9</v>
      </c>
      <c r="Q5" s="29">
        <f t="shared" ref="Q5:Q10" si="9">ROUND(P5*E5,2)</f>
        <v>61.98</v>
      </c>
      <c r="R5" s="40">
        <f t="shared" ref="R5:R10" si="10">H5</f>
        <v>3.9</v>
      </c>
      <c r="S5" s="29">
        <f t="shared" ref="S5:S10" si="11">ROUND(R5*E5,2)</f>
        <v>61.98</v>
      </c>
      <c r="T5" s="40">
        <f t="shared" ref="T5:T10" si="12">H5</f>
        <v>3.9</v>
      </c>
      <c r="U5" s="43">
        <f t="shared" ref="U5:U10" si="13">ROUND(T5*E5,2)</f>
        <v>61.98</v>
      </c>
      <c r="V5" s="40">
        <v>3.9</v>
      </c>
      <c r="W5" s="29">
        <f t="shared" ref="W5:W10" si="14">ROUND(V5*E5,2)</f>
        <v>61.98</v>
      </c>
      <c r="X5" s="40">
        <f t="shared" ref="X5:X10" si="15">F5</f>
        <v>3.9</v>
      </c>
      <c r="Y5" s="29">
        <f t="shared" ref="Y5:Y10" si="16">ROUND(X5*C5,2)</f>
        <v>92.99</v>
      </c>
    </row>
    <row r="6" spans="1:25" ht="14" customHeight="1" x14ac:dyDescent="0.15">
      <c r="A6" s="28" t="s">
        <v>90</v>
      </c>
      <c r="B6" s="29" t="s">
        <v>13</v>
      </c>
      <c r="C6" s="46">
        <v>20.502199999999998</v>
      </c>
      <c r="D6" s="29" t="s">
        <v>128</v>
      </c>
      <c r="E6" s="46">
        <v>17.035399999999999</v>
      </c>
      <c r="F6" s="50">
        <v>0.7</v>
      </c>
      <c r="G6" s="29">
        <f t="shared" si="0"/>
        <v>14.35</v>
      </c>
      <c r="H6" s="40">
        <v>0.7</v>
      </c>
      <c r="I6" s="29">
        <f t="shared" si="1"/>
        <v>11.92</v>
      </c>
      <c r="J6" s="40">
        <f t="shared" si="2"/>
        <v>0.7</v>
      </c>
      <c r="K6" s="29">
        <f t="shared" si="3"/>
        <v>11.92</v>
      </c>
      <c r="L6" s="40">
        <f t="shared" si="4"/>
        <v>0.7</v>
      </c>
      <c r="M6" s="29">
        <f t="shared" si="5"/>
        <v>11.92</v>
      </c>
      <c r="N6" s="40">
        <f t="shared" si="6"/>
        <v>0.7</v>
      </c>
      <c r="O6" s="29">
        <f t="shared" si="7"/>
        <v>11.92</v>
      </c>
      <c r="P6" s="40">
        <f t="shared" si="8"/>
        <v>0.7</v>
      </c>
      <c r="Q6" s="29">
        <f t="shared" si="9"/>
        <v>11.92</v>
      </c>
      <c r="R6" s="40">
        <f t="shared" si="10"/>
        <v>0.7</v>
      </c>
      <c r="S6" s="29">
        <f t="shared" si="11"/>
        <v>11.92</v>
      </c>
      <c r="T6" s="40">
        <f t="shared" si="12"/>
        <v>0.7</v>
      </c>
      <c r="U6" s="43">
        <f t="shared" si="13"/>
        <v>11.92</v>
      </c>
      <c r="V6" s="40">
        <v>0.7</v>
      </c>
      <c r="W6" s="29">
        <f t="shared" si="14"/>
        <v>11.92</v>
      </c>
      <c r="X6" s="40">
        <f t="shared" si="15"/>
        <v>0.7</v>
      </c>
      <c r="Y6" s="29">
        <f t="shared" si="16"/>
        <v>14.35</v>
      </c>
    </row>
    <row r="7" spans="1:25" ht="14" customHeight="1" x14ac:dyDescent="0.15">
      <c r="A7" s="28" t="s">
        <v>112</v>
      </c>
      <c r="B7" s="29" t="s">
        <v>13</v>
      </c>
      <c r="C7" s="46">
        <v>1.6826000000000001</v>
      </c>
      <c r="D7" s="29" t="s">
        <v>128</v>
      </c>
      <c r="E7" s="46">
        <v>1.4748000000000001</v>
      </c>
      <c r="F7" s="50">
        <v>30.96</v>
      </c>
      <c r="G7" s="29">
        <f t="shared" si="0"/>
        <v>52.09</v>
      </c>
      <c r="H7" s="40">
        <v>30.96</v>
      </c>
      <c r="I7" s="29">
        <f t="shared" si="1"/>
        <v>45.66</v>
      </c>
      <c r="J7" s="40">
        <f t="shared" si="2"/>
        <v>30.96</v>
      </c>
      <c r="K7" s="29">
        <f t="shared" si="3"/>
        <v>45.66</v>
      </c>
      <c r="L7" s="40">
        <f t="shared" si="4"/>
        <v>30.96</v>
      </c>
      <c r="M7" s="29">
        <f t="shared" si="5"/>
        <v>45.66</v>
      </c>
      <c r="N7" s="40">
        <f t="shared" si="6"/>
        <v>30.96</v>
      </c>
      <c r="O7" s="29">
        <f t="shared" si="7"/>
        <v>45.66</v>
      </c>
      <c r="P7" s="40">
        <f t="shared" si="8"/>
        <v>30.96</v>
      </c>
      <c r="Q7" s="29">
        <f t="shared" si="9"/>
        <v>45.66</v>
      </c>
      <c r="R7" s="40">
        <f t="shared" si="10"/>
        <v>30.96</v>
      </c>
      <c r="S7" s="29">
        <f t="shared" si="11"/>
        <v>45.66</v>
      </c>
      <c r="T7" s="40">
        <f t="shared" si="12"/>
        <v>30.96</v>
      </c>
      <c r="U7" s="43">
        <f t="shared" si="13"/>
        <v>45.66</v>
      </c>
      <c r="V7" s="40">
        <v>30.96</v>
      </c>
      <c r="W7" s="29">
        <f t="shared" si="14"/>
        <v>45.66</v>
      </c>
      <c r="X7" s="40">
        <f t="shared" si="15"/>
        <v>30.96</v>
      </c>
      <c r="Y7" s="29">
        <f t="shared" si="16"/>
        <v>52.09</v>
      </c>
    </row>
    <row r="8" spans="1:25" ht="14" customHeight="1" x14ac:dyDescent="0.15">
      <c r="A8" s="28" t="s">
        <v>113</v>
      </c>
      <c r="B8" s="29" t="s">
        <v>13</v>
      </c>
      <c r="C8" s="46">
        <v>0.45650000000000002</v>
      </c>
      <c r="D8" s="29" t="s">
        <v>128</v>
      </c>
      <c r="E8" s="46">
        <v>0.30030000000000001</v>
      </c>
      <c r="F8" s="50">
        <v>41.49</v>
      </c>
      <c r="G8" s="29">
        <f t="shared" si="0"/>
        <v>18.940000000000001</v>
      </c>
      <c r="H8" s="40">
        <v>41.49</v>
      </c>
      <c r="I8" s="29">
        <f t="shared" si="1"/>
        <v>12.46</v>
      </c>
      <c r="J8" s="40">
        <f t="shared" si="2"/>
        <v>41.49</v>
      </c>
      <c r="K8" s="29">
        <f t="shared" si="3"/>
        <v>12.46</v>
      </c>
      <c r="L8" s="40">
        <f t="shared" si="4"/>
        <v>41.49</v>
      </c>
      <c r="M8" s="29">
        <f t="shared" si="5"/>
        <v>12.46</v>
      </c>
      <c r="N8" s="40">
        <f t="shared" si="6"/>
        <v>41.49</v>
      </c>
      <c r="O8" s="29">
        <f t="shared" si="7"/>
        <v>12.46</v>
      </c>
      <c r="P8" s="40">
        <f t="shared" si="8"/>
        <v>41.49</v>
      </c>
      <c r="Q8" s="29">
        <f t="shared" si="9"/>
        <v>12.46</v>
      </c>
      <c r="R8" s="40">
        <f t="shared" si="10"/>
        <v>41.49</v>
      </c>
      <c r="S8" s="29">
        <f t="shared" si="11"/>
        <v>12.46</v>
      </c>
      <c r="T8" s="40">
        <f t="shared" si="12"/>
        <v>41.49</v>
      </c>
      <c r="U8" s="43">
        <f t="shared" si="13"/>
        <v>12.46</v>
      </c>
      <c r="V8" s="40">
        <v>41.49</v>
      </c>
      <c r="W8" s="29">
        <f t="shared" si="14"/>
        <v>12.46</v>
      </c>
      <c r="X8" s="40">
        <f t="shared" si="15"/>
        <v>41.49</v>
      </c>
      <c r="Y8" s="29">
        <f t="shared" si="16"/>
        <v>18.940000000000001</v>
      </c>
    </row>
    <row r="9" spans="1:25" ht="14" customHeight="1" x14ac:dyDescent="0.15">
      <c r="A9" s="28" t="s">
        <v>114</v>
      </c>
      <c r="B9" s="29" t="s">
        <v>13</v>
      </c>
      <c r="C9" s="46">
        <v>8.9999999999999993E-3</v>
      </c>
      <c r="D9" s="29" t="s">
        <v>128</v>
      </c>
      <c r="E9" s="46">
        <v>7.9000000000000008E-3</v>
      </c>
      <c r="F9" s="50">
        <v>1.46</v>
      </c>
      <c r="G9" s="29">
        <f t="shared" si="0"/>
        <v>0.01</v>
      </c>
      <c r="H9" s="40">
        <v>1.46</v>
      </c>
      <c r="I9" s="29">
        <f t="shared" si="1"/>
        <v>0.01</v>
      </c>
      <c r="J9" s="40">
        <f t="shared" si="2"/>
        <v>1.46</v>
      </c>
      <c r="K9" s="29">
        <f t="shared" si="3"/>
        <v>0.01</v>
      </c>
      <c r="L9" s="40">
        <f t="shared" si="4"/>
        <v>1.46</v>
      </c>
      <c r="M9" s="29">
        <f t="shared" si="5"/>
        <v>0.01</v>
      </c>
      <c r="N9" s="40">
        <f t="shared" si="6"/>
        <v>1.46</v>
      </c>
      <c r="O9" s="29">
        <f t="shared" si="7"/>
        <v>0.01</v>
      </c>
      <c r="P9" s="40">
        <f t="shared" si="8"/>
        <v>1.46</v>
      </c>
      <c r="Q9" s="29">
        <f t="shared" si="9"/>
        <v>0.01</v>
      </c>
      <c r="R9" s="40">
        <f t="shared" si="10"/>
        <v>1.46</v>
      </c>
      <c r="S9" s="29">
        <f t="shared" si="11"/>
        <v>0.01</v>
      </c>
      <c r="T9" s="40">
        <f t="shared" si="12"/>
        <v>1.46</v>
      </c>
      <c r="U9" s="43">
        <f t="shared" si="13"/>
        <v>0.01</v>
      </c>
      <c r="V9" s="40">
        <v>1.46</v>
      </c>
      <c r="W9" s="29">
        <f t="shared" si="14"/>
        <v>0.01</v>
      </c>
      <c r="X9" s="40">
        <f t="shared" si="15"/>
        <v>1.46</v>
      </c>
      <c r="Y9" s="29">
        <f t="shared" si="16"/>
        <v>0.01</v>
      </c>
    </row>
    <row r="10" spans="1:25" ht="14" customHeight="1" x14ac:dyDescent="0.15">
      <c r="A10" s="28" t="s">
        <v>115</v>
      </c>
      <c r="B10" s="29" t="s">
        <v>13</v>
      </c>
      <c r="C10" s="46">
        <v>3.3862000000000001</v>
      </c>
      <c r="D10" s="29" t="s">
        <v>128</v>
      </c>
      <c r="E10" s="46">
        <v>3.2448999999999999</v>
      </c>
      <c r="F10" s="50">
        <v>86.91</v>
      </c>
      <c r="G10" s="29">
        <f t="shared" si="0"/>
        <v>294.29000000000002</v>
      </c>
      <c r="H10" s="40">
        <v>86.91</v>
      </c>
      <c r="I10" s="29">
        <f t="shared" si="1"/>
        <v>282.01</v>
      </c>
      <c r="J10" s="40">
        <f t="shared" si="2"/>
        <v>86.91</v>
      </c>
      <c r="K10" s="29">
        <f t="shared" si="3"/>
        <v>282.01</v>
      </c>
      <c r="L10" s="40">
        <f t="shared" si="4"/>
        <v>86.91</v>
      </c>
      <c r="M10" s="29">
        <f t="shared" si="5"/>
        <v>282.01</v>
      </c>
      <c r="N10" s="40">
        <f t="shared" si="6"/>
        <v>86.91</v>
      </c>
      <c r="O10" s="29">
        <f t="shared" si="7"/>
        <v>282.01</v>
      </c>
      <c r="P10" s="40">
        <f t="shared" si="8"/>
        <v>86.91</v>
      </c>
      <c r="Q10" s="29">
        <f t="shared" si="9"/>
        <v>282.01</v>
      </c>
      <c r="R10" s="40">
        <f t="shared" si="10"/>
        <v>86.91</v>
      </c>
      <c r="S10" s="29">
        <f t="shared" si="11"/>
        <v>282.01</v>
      </c>
      <c r="T10" s="40">
        <f t="shared" si="12"/>
        <v>86.91</v>
      </c>
      <c r="U10" s="43">
        <f t="shared" si="13"/>
        <v>282.01</v>
      </c>
      <c r="V10" s="40">
        <v>86.91</v>
      </c>
      <c r="W10" s="29">
        <f t="shared" si="14"/>
        <v>282.01</v>
      </c>
      <c r="X10" s="40">
        <f t="shared" si="15"/>
        <v>86.91</v>
      </c>
      <c r="Y10" s="29">
        <f t="shared" si="16"/>
        <v>294.29000000000002</v>
      </c>
    </row>
    <row r="11" spans="1:25" ht="14" customHeight="1" x14ac:dyDescent="0.15">
      <c r="A11" s="28" t="s">
        <v>116</v>
      </c>
      <c r="B11" s="29" t="s">
        <v>97</v>
      </c>
      <c r="C11" s="46">
        <v>2.4167999999999998</v>
      </c>
      <c r="D11" s="29" t="s">
        <v>129</v>
      </c>
      <c r="E11" s="46">
        <v>2.4133</v>
      </c>
      <c r="F11" s="50" t="s">
        <v>98</v>
      </c>
      <c r="G11" s="29" t="str">
        <f>ROUND(3.4*C11,2)&amp;" – "&amp;ROUND(17.9*C11,2)</f>
        <v>8.22 – 43.26</v>
      </c>
      <c r="H11" s="40" t="s">
        <v>98</v>
      </c>
      <c r="I11" s="29" t="str">
        <f>ROUND(3.4*$E$11,2)&amp;" – "&amp;ROUND(17.9*$E$11,2)</f>
        <v>8.21 – 43.2</v>
      </c>
      <c r="J11" s="40">
        <v>0</v>
      </c>
      <c r="K11" s="29">
        <v>0</v>
      </c>
      <c r="L11" s="40">
        <v>0</v>
      </c>
      <c r="M11" s="29">
        <v>0</v>
      </c>
      <c r="N11" s="40">
        <f t="shared" si="6"/>
        <v>0</v>
      </c>
      <c r="O11" s="29">
        <v>0</v>
      </c>
      <c r="P11" s="40">
        <f t="shared" si="8"/>
        <v>0</v>
      </c>
      <c r="Q11" s="29">
        <v>0</v>
      </c>
      <c r="R11" s="40">
        <v>0</v>
      </c>
      <c r="S11" s="29">
        <v>0</v>
      </c>
      <c r="T11" s="40">
        <v>0</v>
      </c>
      <c r="U11" s="43">
        <v>0</v>
      </c>
      <c r="V11" s="40" t="s">
        <v>98</v>
      </c>
      <c r="W11" s="29" t="str">
        <f>ROUND(3.4*$E$11,2)&amp;" – "&amp;ROUND(17.9*$E$11,2)</f>
        <v>8.21 – 43.2</v>
      </c>
      <c r="X11" s="40" t="s">
        <v>98</v>
      </c>
      <c r="Y11" s="29" t="str">
        <f>ROUND(3.4*C11,2)&amp;" – "&amp;ROUND(17.9*C11,2)</f>
        <v>8.22 – 43.26</v>
      </c>
    </row>
    <row r="12" spans="1:25" ht="14" customHeight="1" x14ac:dyDescent="0.15">
      <c r="A12" s="28" t="s">
        <v>117</v>
      </c>
      <c r="B12" s="29" t="s">
        <v>100</v>
      </c>
      <c r="C12" s="46">
        <v>0.3967</v>
      </c>
      <c r="D12" s="29" t="s">
        <v>130</v>
      </c>
      <c r="E12" s="46">
        <v>0.1072</v>
      </c>
      <c r="F12" s="50">
        <v>646.29999999999995</v>
      </c>
      <c r="G12" s="29">
        <f>ROUND(F12*C12,2)</f>
        <v>256.39</v>
      </c>
      <c r="H12" s="40">
        <v>646.29999999999995</v>
      </c>
      <c r="I12" s="29">
        <f>ROUND(H12*E12,2)</f>
        <v>69.28</v>
      </c>
      <c r="J12" s="40">
        <f>ROUND(F12+0.25*F13*11,1)</f>
        <v>942.2</v>
      </c>
      <c r="K12" s="29">
        <f>ROUND((F12+0.25*F13*11)*E12,2)</f>
        <v>101</v>
      </c>
      <c r="L12" s="40">
        <f>ROUND(F12+0.25*F13*4.4,1)</f>
        <v>764.7</v>
      </c>
      <c r="M12" s="29">
        <f>ROUND((F12+0.25*F13*4.4)*E12,2)</f>
        <v>81.97</v>
      </c>
      <c r="N12" s="40">
        <f>J12</f>
        <v>942.2</v>
      </c>
      <c r="O12" s="29">
        <f>ROUND((F12+0.25*F13*11)*E16,2)</f>
        <v>37.86</v>
      </c>
      <c r="P12" s="40">
        <f>L12</f>
        <v>764.7</v>
      </c>
      <c r="Q12" s="29">
        <f>ROUND((F12+0.25*F13*4.4)*E16,2)</f>
        <v>30.72</v>
      </c>
      <c r="R12" s="40">
        <f>ROUND(F12+F13*11,1)</f>
        <v>1829.9</v>
      </c>
      <c r="S12" s="29">
        <f>ROUND((F12+F13*11)*E16,2)</f>
        <v>73.53</v>
      </c>
      <c r="T12" s="40">
        <f>ROUND(F12+F13*4.4,1)</f>
        <v>1119.7</v>
      </c>
      <c r="U12" s="43">
        <f>ROUND((F12+F13*4.4)*E16,2)</f>
        <v>44.99</v>
      </c>
      <c r="V12" s="40">
        <v>784.4</v>
      </c>
      <c r="W12" s="29">
        <f>ROUND(V12*E16,2)</f>
        <v>31.52</v>
      </c>
      <c r="X12" s="40">
        <f>F12</f>
        <v>646.29999999999995</v>
      </c>
      <c r="Y12" s="29">
        <f>ROUND(X12*C16,2)</f>
        <v>30.51</v>
      </c>
    </row>
    <row r="13" spans="1:25" ht="14" customHeight="1" x14ac:dyDescent="0.15">
      <c r="A13" s="28" t="s">
        <v>101</v>
      </c>
      <c r="B13" s="29" t="s">
        <v>102</v>
      </c>
      <c r="C13" s="46">
        <v>3.1808000000000001</v>
      </c>
      <c r="D13" s="29" t="s">
        <v>131</v>
      </c>
      <c r="E13" s="46">
        <v>3.1587000000000001</v>
      </c>
      <c r="F13" s="50">
        <v>107.6</v>
      </c>
      <c r="G13" s="29">
        <f>ROUND(F13*C13,2)</f>
        <v>342.25</v>
      </c>
      <c r="H13" s="40">
        <v>107.6</v>
      </c>
      <c r="I13" s="29">
        <f>ROUND(H13*E13,2)</f>
        <v>339.88</v>
      </c>
      <c r="J13" s="40">
        <f>ROUND(F13*0.75,2)</f>
        <v>80.7</v>
      </c>
      <c r="K13" s="29">
        <f>ROUND(J13*E13,2)</f>
        <v>254.91</v>
      </c>
      <c r="L13" s="40">
        <f>ROUND(F13*0.75,2)</f>
        <v>80.7</v>
      </c>
      <c r="M13" s="29">
        <f>ROUND(L13*E13,2)</f>
        <v>254.91</v>
      </c>
      <c r="N13" s="40">
        <f t="shared" si="6"/>
        <v>80.7</v>
      </c>
      <c r="O13" s="29">
        <f>ROUND(N13*E13,2)</f>
        <v>254.91</v>
      </c>
      <c r="P13" s="40">
        <f t="shared" si="8"/>
        <v>80.7</v>
      </c>
      <c r="Q13" s="29">
        <f>ROUND(P13*E13,2)</f>
        <v>254.91</v>
      </c>
      <c r="R13" s="40">
        <v>0</v>
      </c>
      <c r="S13" s="29">
        <v>0</v>
      </c>
      <c r="T13" s="40">
        <v>0</v>
      </c>
      <c r="U13" s="43">
        <v>0</v>
      </c>
      <c r="V13" s="40">
        <v>130.6</v>
      </c>
      <c r="W13" s="29">
        <f>ROUND(V13*E13,2)</f>
        <v>412.53</v>
      </c>
      <c r="X13" s="40">
        <f>F13</f>
        <v>107.6</v>
      </c>
      <c r="Y13" s="29">
        <f>ROUND(X13*C13,2)</f>
        <v>342.25</v>
      </c>
    </row>
    <row r="14" spans="1:25" ht="14" customHeight="1" x14ac:dyDescent="0.15">
      <c r="A14" s="28" t="s">
        <v>94</v>
      </c>
      <c r="B14" s="29" t="s">
        <v>13</v>
      </c>
      <c r="C14" s="46">
        <v>3.2199999999999999E-2</v>
      </c>
      <c r="D14" s="29" t="s">
        <v>128</v>
      </c>
      <c r="E14" s="46">
        <v>1.35E-2</v>
      </c>
      <c r="F14" s="50">
        <v>6.51</v>
      </c>
      <c r="G14" s="29">
        <f>ROUND(F14*C14,2)</f>
        <v>0.21</v>
      </c>
      <c r="H14" s="40">
        <v>6.51</v>
      </c>
      <c r="I14" s="29">
        <f>ROUND(H14*E14,2)</f>
        <v>0.09</v>
      </c>
      <c r="J14" s="40">
        <f>H14</f>
        <v>6.51</v>
      </c>
      <c r="K14" s="29">
        <f>ROUND(J14*E14,2)</f>
        <v>0.09</v>
      </c>
      <c r="L14" s="40">
        <f>H14</f>
        <v>6.51</v>
      </c>
      <c r="M14" s="29">
        <f>ROUND(L14*E14,2)</f>
        <v>0.09</v>
      </c>
      <c r="N14" s="40">
        <f t="shared" si="6"/>
        <v>6.51</v>
      </c>
      <c r="O14" s="29">
        <f>ROUND(N14*E14,2)</f>
        <v>0.09</v>
      </c>
      <c r="P14" s="40">
        <f t="shared" si="8"/>
        <v>6.51</v>
      </c>
      <c r="Q14" s="29">
        <f>ROUND(P14*E14,2)</f>
        <v>0.09</v>
      </c>
      <c r="R14" s="40">
        <f>H14</f>
        <v>6.51</v>
      </c>
      <c r="S14" s="29">
        <f>ROUND(R14*E14,2)</f>
        <v>0.09</v>
      </c>
      <c r="T14" s="40">
        <f>H14</f>
        <v>6.51</v>
      </c>
      <c r="U14" s="43">
        <f>ROUND(T14*E14,2)</f>
        <v>0.09</v>
      </c>
      <c r="V14" s="40">
        <v>6.51</v>
      </c>
      <c r="W14" s="29">
        <f>ROUND(V14*E14,2)</f>
        <v>0.09</v>
      </c>
      <c r="X14" s="40">
        <f>F14</f>
        <v>6.51</v>
      </c>
      <c r="Y14" s="29">
        <f>ROUND(X14*C14,2)</f>
        <v>0.21</v>
      </c>
    </row>
    <row r="15" spans="1:25" ht="14" customHeight="1" x14ac:dyDescent="0.15">
      <c r="A15" s="28" t="s">
        <v>118</v>
      </c>
      <c r="B15" s="29" t="s">
        <v>100</v>
      </c>
      <c r="C15" s="46">
        <v>0.3967</v>
      </c>
      <c r="D15" s="29" t="s">
        <v>130</v>
      </c>
      <c r="E15" s="46">
        <v>0.1072</v>
      </c>
      <c r="F15" s="50" t="s">
        <v>104</v>
      </c>
      <c r="G15" s="29" t="str">
        <f>ROUND(158.5*C15,2)&amp;" – "&amp;ROUND(181.4*C15,2)</f>
        <v>62.88 – 71.96</v>
      </c>
      <c r="H15" s="40" t="s">
        <v>104</v>
      </c>
      <c r="I15" s="29" t="str">
        <f>ROUND(158.5*E15,2)&amp;" – "&amp;ROUND(181.4*E15,2)</f>
        <v>16.99 – 19.45</v>
      </c>
      <c r="J15" s="40" t="str">
        <f>ROUND(158.5+3.4*10.5,1)&amp;" – "&amp;ROUND(181.4+17.9*10.5,1)</f>
        <v>194.2 – 369.4</v>
      </c>
      <c r="K15" s="29" t="str">
        <f>ROUND((158.5+3.4*10.5)*E15,2)&amp;" – "&amp;ROUND((181.4+17.9*10.5)*E15,2)</f>
        <v>20.82 – 39.59</v>
      </c>
      <c r="L15" s="40" t="str">
        <f>ROUND(158.5+3.4*10.5,1)&amp;" – "&amp;ROUND(181.4+17.9*10.5,1)</f>
        <v>194.2 – 369.4</v>
      </c>
      <c r="M15" s="29" t="str">
        <f>ROUND((158.5+3.4*10.5)*E15,2)&amp;" – "&amp;ROUND((181.4+17.9*10.5)*E15,2)</f>
        <v>20.82 – 39.59</v>
      </c>
      <c r="N15" s="40" t="str">
        <f>J15</f>
        <v>194.2 – 369.4</v>
      </c>
      <c r="O15" s="29" t="str">
        <f>ROUND((158.5+3.4*10.5)*E16,2)&amp;" – "&amp;ROUND((181.4+17.9*10.5)*E16,2)</f>
        <v>7.8 – 14.84</v>
      </c>
      <c r="P15" s="40" t="str">
        <f>L15</f>
        <v>194.2 – 369.4</v>
      </c>
      <c r="Q15" s="29" t="str">
        <f>ROUND((158.5+3.4*10.5)*E16,2)&amp;" – "&amp;ROUND((181.4+17.9*10.5)*E16,2)</f>
        <v>7.8 – 14.84</v>
      </c>
      <c r="R15" s="40" t="str">
        <f>ROUND(158.5+3.4*10.5,1)&amp;" – "&amp;ROUND(181.4+17.9*10.5,1)</f>
        <v>194.2 – 369.4</v>
      </c>
      <c r="S15" s="29" t="str">
        <f>ROUND((158.5+3.4*10.5)*E16,2)&amp;" – "&amp;ROUND((181.4+17.9*10.5)*E16,2)</f>
        <v>7.8 – 14.84</v>
      </c>
      <c r="T15" s="40" t="str">
        <f>ROUND(158.5+3.4*10.5,1)&amp;" – "&amp;ROUND(181.4+17.9*10.5,1)</f>
        <v>194.2 – 369.4</v>
      </c>
      <c r="U15" s="43" t="str">
        <f>ROUND((158.5+3.4*10.5)*E16,2)&amp;" – "&amp;ROUND((181.4+17.9*10.5)*E16,2)</f>
        <v>7.8 – 14.84</v>
      </c>
      <c r="V15" s="40" t="s">
        <v>104</v>
      </c>
      <c r="W15" s="29" t="str">
        <f>ROUND(158.5*E16,2)&amp;" – "&amp;ROUND(181.4*E16,2)</f>
        <v>6.37 – 7.29</v>
      </c>
      <c r="X15" s="40" t="s">
        <v>104</v>
      </c>
      <c r="Y15" s="29" t="str">
        <f>ROUND(158.5*C16,2)&amp;" – "&amp;ROUND(181.4*C16,2)</f>
        <v>7.48 – 8.56</v>
      </c>
    </row>
    <row r="16" spans="1:25" ht="14" customHeight="1" x14ac:dyDescent="0.15">
      <c r="A16" s="28" t="s">
        <v>148</v>
      </c>
      <c r="B16" s="29" t="s">
        <v>100</v>
      </c>
      <c r="C16" s="46">
        <v>4.7199999999999999E-2</v>
      </c>
      <c r="D16" s="29" t="s">
        <v>130</v>
      </c>
      <c r="E16" s="46">
        <v>4.018E-2</v>
      </c>
      <c r="F16" s="50"/>
      <c r="G16" s="29"/>
      <c r="H16" s="40"/>
      <c r="I16" s="29"/>
      <c r="J16" s="40"/>
      <c r="K16" s="29"/>
      <c r="L16" s="40"/>
      <c r="M16" s="29"/>
      <c r="N16" s="62" t="b">
        <v>1</v>
      </c>
      <c r="O16" s="29"/>
      <c r="P16" s="62" t="b">
        <v>1</v>
      </c>
      <c r="Q16" s="29"/>
      <c r="R16" s="62" t="b">
        <v>1</v>
      </c>
      <c r="S16" s="29"/>
      <c r="T16" s="62" t="b">
        <v>1</v>
      </c>
      <c r="U16" s="43"/>
      <c r="V16" s="40"/>
      <c r="W16" s="29"/>
      <c r="X16" s="40"/>
      <c r="Y16" s="29"/>
    </row>
    <row r="17" spans="1:25" ht="14" customHeight="1" x14ac:dyDescent="0.15">
      <c r="A17" s="28" t="s">
        <v>175</v>
      </c>
      <c r="B17" s="29" t="s">
        <v>13</v>
      </c>
      <c r="C17" s="46">
        <v>273</v>
      </c>
      <c r="D17" s="29" t="s">
        <v>128</v>
      </c>
      <c r="E17" s="46">
        <v>273</v>
      </c>
      <c r="F17" s="50" t="s">
        <v>176</v>
      </c>
      <c r="G17" s="29" t="str">
        <f>ROUND(0.2*C17,2)&amp;" – "&amp;ROUND(3.7*C17,2)</f>
        <v>54.6 – 1010.1</v>
      </c>
      <c r="H17" s="50" t="s">
        <v>176</v>
      </c>
      <c r="I17" s="29" t="str">
        <f>ROUND(0.2*E17,2)&amp;" – "&amp;ROUND(3.7*E17,2)</f>
        <v>54.6 – 1010.1</v>
      </c>
      <c r="J17" s="50" t="s">
        <v>176</v>
      </c>
      <c r="K17" s="29" t="str">
        <f>ROUND(0.2*E17,2)&amp;" – "&amp;ROUND(3.7*E17,2)</f>
        <v>54.6 – 1010.1</v>
      </c>
      <c r="L17" s="50" t="s">
        <v>176</v>
      </c>
      <c r="M17" s="29" t="str">
        <f>ROUND(0.2*E17,2)&amp;" – "&amp;ROUND(3.7*E17,2)</f>
        <v>54.6 – 1010.1</v>
      </c>
      <c r="N17" s="50" t="s">
        <v>176</v>
      </c>
      <c r="O17" s="29" t="str">
        <f>ROUND(0.2*E17,2)&amp;" – "&amp;ROUND(3.7*E17,2)</f>
        <v>54.6 – 1010.1</v>
      </c>
      <c r="P17" s="50" t="s">
        <v>176</v>
      </c>
      <c r="Q17" s="29" t="str">
        <f>ROUND(0.2*E17,2)&amp;" – "&amp;ROUND(3.7*E17,2)</f>
        <v>54.6 – 1010.1</v>
      </c>
      <c r="R17" s="50" t="s">
        <v>176</v>
      </c>
      <c r="S17" s="29" t="str">
        <f>ROUND(0.2*E17,2)&amp;" – "&amp;ROUND(3.7*E17,2)</f>
        <v>54.6 – 1010.1</v>
      </c>
      <c r="T17" s="50" t="s">
        <v>176</v>
      </c>
      <c r="U17" s="43" t="str">
        <f>ROUND(0.2*E17,2)&amp;" – "&amp;ROUND(3.7*E17,2)</f>
        <v>54.6 – 1010.1</v>
      </c>
      <c r="V17" s="50" t="s">
        <v>176</v>
      </c>
      <c r="W17" s="29" t="str">
        <f>ROUND(0.2*E17,2)&amp;" – "&amp;ROUND(3.7*E17,2)</f>
        <v>54.6 – 1010.1</v>
      </c>
      <c r="X17" s="50" t="s">
        <v>176</v>
      </c>
      <c r="Y17" s="29" t="str">
        <f>ROUND(0.2*C17,2)&amp;" – "&amp;ROUND(3.7*C17,2)</f>
        <v>54.6 – 1010.1</v>
      </c>
    </row>
    <row r="18" spans="1:25" x14ac:dyDescent="0.15">
      <c r="A18" s="34" t="s">
        <v>119</v>
      </c>
      <c r="B18" s="35"/>
      <c r="C18" s="35"/>
      <c r="D18" s="35"/>
      <c r="E18" s="35"/>
      <c r="F18" s="51"/>
      <c r="G18" s="35" t="str">
        <f>ROUND(G5+G6+G7+G8+G9+G10+3.4*C11+G12+G13+G14+158.5*C15+0.2*C17,2)&amp;" – "&amp;ROUND(G5+G6+G7+G8+G9+G10+17.9*C11+G12+G13+G14+181.4*C15+3.7*C17,2)</f>
        <v>1197.21 – 2196.84</v>
      </c>
      <c r="H18" s="41"/>
      <c r="I18" s="35" t="str">
        <f>ROUND(I5+I6+I7+I8+I9+I10+3.4*E11+I12+I13+I14+158.5*E15+0.2*E17,2)&amp;" – "&amp;ROUND(I5+I6+I7+I8+I9+I10+17.9*E11+I12+I13+I14+181.4*E15+3.7*E17,2)</f>
        <v>903.09 – 1896.03</v>
      </c>
      <c r="J18" s="41"/>
      <c r="K18" s="35" t="str">
        <f>ROUND(K5+K6+K7+K8+K9+K10+0+0+(F12+0.25*F13*11)*E12+K13+K14+(158.5+3.4*10.5)*E15+0.2*E17,2)&amp;" – "&amp;ROUND(K5+K6+K7+K8+K9+K10+0+0+(F12+0.25*F13*11)*E12+K13+K14+(181.4+17.9*10.5)*E15+3.7*E17,2)</f>
        <v>845.46 – 1819.74</v>
      </c>
      <c r="L18" s="41"/>
      <c r="M18" s="35" t="str">
        <f>ROUND(M5+M6+M7+M8+M9+M10+0+0+(F12+0.25*F13*4.4)*E12+M13+M14+(158.5+3.4*10.5)*E15+0.2*E17,2)&amp;" – "&amp;ROUND(M5+M6+M7+M8+M9+M10+0+0+(F12+0.25*F13*4.4)*E12+M13+M14+(181.4+17.9*10.5)*E15+3.7*E17,2)</f>
        <v>826.43 – 1800.71</v>
      </c>
      <c r="N18" s="41"/>
      <c r="O18" s="35" t="str">
        <f>ROUND(O5+O6+O7+O8+O9+O10+O11+0+(F12+0.25*F13*11)*E16+O13+O14+(158.5+3.4*10.5)*E16+0.2*E17,2)&amp;" – "&amp;ROUND(O5+O6+O7+O8+O9+O10+O11+0+(F12+0.25*F13*11)*E16+O13+O14+(181.4+17.9*10.5)*E16+3.7*E17,2)</f>
        <v>769.3 – 1731.84</v>
      </c>
      <c r="P18" s="41"/>
      <c r="Q18" s="35" t="str">
        <f>ROUND(Q5+Q6+Q7+Q8+Q9+Q10+Q11+0+(F12+0.25*F13*4.4)*E16+Q13+Q14+(158.5+3.4*10.5)*E16+0.2*E17,2)&amp;" – "&amp;ROUND(Q5+Q6+Q7+Q8+Q9+Q10+Q11+0+(F12+0.25*F13*4.4)*E16+Q13+Q14+(181.4+17.9*10.5)*E16+3.7*E17,2)</f>
        <v>762.17 – 1724.7</v>
      </c>
      <c r="R18" s="41"/>
      <c r="S18" s="35" t="str">
        <f>ROUND(S5+S6+S7+S8+S9+S10+0+0+(F12+F13*11)*E16+0+0+S14+(158.5+3.4*10.5)*E16+0.2*E17,2)&amp;" – "&amp;ROUND(S5+S6+S7+S8+S9+S10+0+0+(F12+F13*11)*E16+0+0+S14+(181.4+17.9*10.5)*E16+3.7*E17,2)</f>
        <v>550.06 – 1512.6</v>
      </c>
      <c r="T18" s="41"/>
      <c r="U18" s="44" t="str">
        <f>ROUND(U5+U6+U7+U8+U9+U10+0+0+(F12+F13*4.4)*E16+0+0+U14+(158.5+3.4*10.5)*E16+0.2*E17,2)&amp;" – "&amp;ROUND(U5+U6+U7+U8+U9+U10+0+0+(F12+F13*4.4)*E16+0+0+U14+(181.4+17.9*10.5)*E16+3.7*E17,2)</f>
        <v>521.52 – 1484.06</v>
      </c>
      <c r="V18" s="41"/>
      <c r="W18" s="35" t="str">
        <f>ROUND(W5+W6+W7+W8+W9+W10+3.4*E11+W12+W13+W14+158.5*E16+0.2*E17,2)&amp;" – "&amp;ROUND(W5+W6+W7+W8+W9+W10+17.9*E11+W12+W13+W14+181.4*E16+3.7*E17,2)</f>
        <v>927.35 – 1918.77</v>
      </c>
      <c r="X18" s="41"/>
      <c r="Y18" s="35" t="str">
        <f>ROUND(Y5+Y6+Y7+Y8+Y9+Y10+3.4*C11+Y12+Y13+Y14+158.5*C16+0.2*C17,2)&amp;" – "&amp;ROUND(Y5+Y6+Y7+Y8+Y9+Y10+17.9*C11+Y12+Y13+Y14+181.4*C16+3.7*C17,2)</f>
        <v>915.94 – 1907.56</v>
      </c>
    </row>
    <row r="19" spans="1:25" ht="6" customHeight="1" x14ac:dyDescent="0.15">
      <c r="A19" s="28"/>
      <c r="B19" s="29"/>
      <c r="C19" s="29"/>
      <c r="D19" s="29"/>
      <c r="E19" s="29"/>
      <c r="F19" s="50"/>
      <c r="G19" s="29"/>
      <c r="H19" s="40"/>
      <c r="I19" s="29"/>
      <c r="J19" s="40"/>
      <c r="K19" s="29"/>
      <c r="L19" s="40"/>
      <c r="M19" s="29"/>
      <c r="N19" s="40"/>
      <c r="O19" s="29"/>
      <c r="P19" s="40"/>
      <c r="Q19" s="29"/>
      <c r="R19" s="40"/>
      <c r="S19" s="29"/>
      <c r="T19" s="40"/>
      <c r="U19" s="43"/>
      <c r="V19" s="40"/>
      <c r="W19" s="29"/>
    </row>
    <row r="20" spans="1:25" ht="16" customHeight="1" x14ac:dyDescent="0.15">
      <c r="A20" s="76" t="s">
        <v>120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7"/>
    </row>
    <row r="21" spans="1:25" ht="14" customHeight="1" x14ac:dyDescent="0.15">
      <c r="A21" s="28" t="s">
        <v>89</v>
      </c>
      <c r="B21" s="29" t="s">
        <v>13</v>
      </c>
      <c r="C21" s="48">
        <v>347</v>
      </c>
      <c r="D21" s="29" t="s">
        <v>132</v>
      </c>
      <c r="E21" s="47">
        <v>245</v>
      </c>
      <c r="F21" s="50">
        <v>3.9</v>
      </c>
      <c r="G21" s="29">
        <f t="shared" ref="G21:G26" si="17">ROUND(F21*C21,1)</f>
        <v>1353.3</v>
      </c>
      <c r="H21" s="40">
        <v>3.9</v>
      </c>
      <c r="I21" s="29">
        <f t="shared" ref="I21:I26" si="18">ROUND(H21*E21,1)</f>
        <v>955.5</v>
      </c>
      <c r="J21" s="40">
        <f t="shared" ref="J21:J26" si="19">H21</f>
        <v>3.9</v>
      </c>
      <c r="K21" s="29">
        <f t="shared" ref="K21:K26" si="20">ROUND(J21*E21,1)</f>
        <v>955.5</v>
      </c>
      <c r="L21" s="40">
        <f t="shared" ref="L21:L26" si="21">H21</f>
        <v>3.9</v>
      </c>
      <c r="M21" s="29">
        <f t="shared" ref="M21:M26" si="22">ROUND(L21*E21,1)</f>
        <v>955.5</v>
      </c>
      <c r="N21" s="40">
        <f t="shared" ref="N21:N30" si="23">J21</f>
        <v>3.9</v>
      </c>
      <c r="O21" s="29">
        <f t="shared" ref="O21:O26" si="24">ROUND(N21*E21,1)</f>
        <v>955.5</v>
      </c>
      <c r="P21" s="40">
        <f t="shared" ref="P21:P30" si="25">L21</f>
        <v>3.9</v>
      </c>
      <c r="Q21" s="29">
        <f t="shared" ref="Q21:Q26" si="26">ROUND(P21*E21,1)</f>
        <v>955.5</v>
      </c>
      <c r="R21" s="40">
        <f t="shared" ref="R21:R26" si="27">H21</f>
        <v>3.9</v>
      </c>
      <c r="S21" s="29">
        <f t="shared" ref="S21:S26" si="28">ROUND(R21*E21,1)</f>
        <v>955.5</v>
      </c>
      <c r="T21" s="40">
        <f t="shared" ref="T21:T26" si="29">H21</f>
        <v>3.9</v>
      </c>
      <c r="U21" s="43">
        <f t="shared" ref="U21:U26" si="30">ROUND(T21*E21,1)</f>
        <v>955.5</v>
      </c>
      <c r="V21" s="40">
        <v>3.9</v>
      </c>
      <c r="W21" s="29">
        <f t="shared" ref="W21:W26" si="31">ROUND(V21*E21,1)</f>
        <v>955.5</v>
      </c>
      <c r="X21" s="40">
        <f t="shared" ref="X21:X26" si="32">F21</f>
        <v>3.9</v>
      </c>
      <c r="Y21" s="29">
        <f t="shared" ref="Y21:Y26" si="33">ROUND(X21*C21,1)</f>
        <v>1353.3</v>
      </c>
    </row>
    <row r="22" spans="1:25" ht="14" customHeight="1" x14ac:dyDescent="0.15">
      <c r="A22" s="28" t="s">
        <v>90</v>
      </c>
      <c r="B22" s="29" t="s">
        <v>13</v>
      </c>
      <c r="C22" s="48">
        <v>285</v>
      </c>
      <c r="D22" s="29" t="s">
        <v>132</v>
      </c>
      <c r="E22" s="47">
        <v>240</v>
      </c>
      <c r="F22" s="50">
        <v>0.7</v>
      </c>
      <c r="G22" s="29">
        <f t="shared" si="17"/>
        <v>199.5</v>
      </c>
      <c r="H22" s="40">
        <v>0.7</v>
      </c>
      <c r="I22" s="29">
        <f t="shared" si="18"/>
        <v>168</v>
      </c>
      <c r="J22" s="40">
        <f t="shared" si="19"/>
        <v>0.7</v>
      </c>
      <c r="K22" s="29">
        <f t="shared" si="20"/>
        <v>168</v>
      </c>
      <c r="L22" s="40">
        <f t="shared" si="21"/>
        <v>0.7</v>
      </c>
      <c r="M22" s="29">
        <f t="shared" si="22"/>
        <v>168</v>
      </c>
      <c r="N22" s="40">
        <f t="shared" si="23"/>
        <v>0.7</v>
      </c>
      <c r="O22" s="29">
        <f t="shared" si="24"/>
        <v>168</v>
      </c>
      <c r="P22" s="40">
        <f t="shared" si="25"/>
        <v>0.7</v>
      </c>
      <c r="Q22" s="29">
        <f t="shared" si="26"/>
        <v>168</v>
      </c>
      <c r="R22" s="40">
        <f t="shared" si="27"/>
        <v>0.7</v>
      </c>
      <c r="S22" s="29">
        <f t="shared" si="28"/>
        <v>168</v>
      </c>
      <c r="T22" s="40">
        <f t="shared" si="29"/>
        <v>0.7</v>
      </c>
      <c r="U22" s="43">
        <f t="shared" si="30"/>
        <v>168</v>
      </c>
      <c r="V22" s="40">
        <v>0.7</v>
      </c>
      <c r="W22" s="29">
        <f t="shared" si="31"/>
        <v>168</v>
      </c>
      <c r="X22" s="40">
        <f t="shared" si="32"/>
        <v>0.7</v>
      </c>
      <c r="Y22" s="29">
        <f t="shared" si="33"/>
        <v>199.5</v>
      </c>
    </row>
    <row r="23" spans="1:25" ht="14" customHeight="1" x14ac:dyDescent="0.15">
      <c r="A23" s="28" t="s">
        <v>112</v>
      </c>
      <c r="B23" s="29" t="s">
        <v>13</v>
      </c>
      <c r="C23" s="48">
        <v>24</v>
      </c>
      <c r="D23" s="29" t="s">
        <v>132</v>
      </c>
      <c r="E23" s="47">
        <v>22</v>
      </c>
      <c r="F23" s="50">
        <v>30.96</v>
      </c>
      <c r="G23" s="29">
        <f t="shared" si="17"/>
        <v>743</v>
      </c>
      <c r="H23" s="40">
        <v>30.96</v>
      </c>
      <c r="I23" s="29">
        <f t="shared" si="18"/>
        <v>681.1</v>
      </c>
      <c r="J23" s="40">
        <f t="shared" si="19"/>
        <v>30.96</v>
      </c>
      <c r="K23" s="29">
        <f t="shared" si="20"/>
        <v>681.1</v>
      </c>
      <c r="L23" s="40">
        <f t="shared" si="21"/>
        <v>30.96</v>
      </c>
      <c r="M23" s="29">
        <f t="shared" si="22"/>
        <v>681.1</v>
      </c>
      <c r="N23" s="40">
        <f t="shared" si="23"/>
        <v>30.96</v>
      </c>
      <c r="O23" s="29">
        <f t="shared" si="24"/>
        <v>681.1</v>
      </c>
      <c r="P23" s="40">
        <f t="shared" si="25"/>
        <v>30.96</v>
      </c>
      <c r="Q23" s="29">
        <f t="shared" si="26"/>
        <v>681.1</v>
      </c>
      <c r="R23" s="40">
        <f t="shared" si="27"/>
        <v>30.96</v>
      </c>
      <c r="S23" s="29">
        <f t="shared" si="28"/>
        <v>681.1</v>
      </c>
      <c r="T23" s="40">
        <f t="shared" si="29"/>
        <v>30.96</v>
      </c>
      <c r="U23" s="43">
        <f t="shared" si="30"/>
        <v>681.1</v>
      </c>
      <c r="V23" s="40">
        <v>30.96</v>
      </c>
      <c r="W23" s="29">
        <f t="shared" si="31"/>
        <v>681.1</v>
      </c>
      <c r="X23" s="40">
        <f t="shared" si="32"/>
        <v>30.96</v>
      </c>
      <c r="Y23" s="29">
        <f t="shared" si="33"/>
        <v>743</v>
      </c>
    </row>
    <row r="24" spans="1:25" ht="14" customHeight="1" x14ac:dyDescent="0.15">
      <c r="A24" s="28" t="s">
        <v>113</v>
      </c>
      <c r="B24" s="29" t="s">
        <v>13</v>
      </c>
      <c r="C24" s="48">
        <v>6.4139999999999997</v>
      </c>
      <c r="D24" s="29" t="s">
        <v>132</v>
      </c>
      <c r="E24" s="47">
        <v>4.4050000000000002</v>
      </c>
      <c r="F24" s="50">
        <v>41.49</v>
      </c>
      <c r="G24" s="29">
        <f t="shared" si="17"/>
        <v>266.10000000000002</v>
      </c>
      <c r="H24" s="40">
        <v>41.49</v>
      </c>
      <c r="I24" s="29">
        <f t="shared" si="18"/>
        <v>182.8</v>
      </c>
      <c r="J24" s="40">
        <f t="shared" si="19"/>
        <v>41.49</v>
      </c>
      <c r="K24" s="29">
        <f t="shared" si="20"/>
        <v>182.8</v>
      </c>
      <c r="L24" s="40">
        <f t="shared" si="21"/>
        <v>41.49</v>
      </c>
      <c r="M24" s="29">
        <f t="shared" si="22"/>
        <v>182.8</v>
      </c>
      <c r="N24" s="40">
        <f t="shared" si="23"/>
        <v>41.49</v>
      </c>
      <c r="O24" s="29">
        <f t="shared" si="24"/>
        <v>182.8</v>
      </c>
      <c r="P24" s="40">
        <f t="shared" si="25"/>
        <v>41.49</v>
      </c>
      <c r="Q24" s="29">
        <f t="shared" si="26"/>
        <v>182.8</v>
      </c>
      <c r="R24" s="40">
        <f t="shared" si="27"/>
        <v>41.49</v>
      </c>
      <c r="S24" s="29">
        <f t="shared" si="28"/>
        <v>182.8</v>
      </c>
      <c r="T24" s="40">
        <f t="shared" si="29"/>
        <v>41.49</v>
      </c>
      <c r="U24" s="43">
        <f t="shared" si="30"/>
        <v>182.8</v>
      </c>
      <c r="V24" s="40">
        <v>41.49</v>
      </c>
      <c r="W24" s="29">
        <f t="shared" si="31"/>
        <v>182.8</v>
      </c>
      <c r="X24" s="40">
        <f t="shared" si="32"/>
        <v>41.49</v>
      </c>
      <c r="Y24" s="29">
        <f t="shared" si="33"/>
        <v>266.10000000000002</v>
      </c>
    </row>
    <row r="25" spans="1:25" ht="14" customHeight="1" x14ac:dyDescent="0.15">
      <c r="A25" s="28" t="s">
        <v>114</v>
      </c>
      <c r="B25" s="29" t="s">
        <v>13</v>
      </c>
      <c r="C25" s="48">
        <v>0.1134</v>
      </c>
      <c r="D25" s="29" t="s">
        <v>132</v>
      </c>
      <c r="E25" s="47">
        <v>9.8489999999999994E-2</v>
      </c>
      <c r="F25" s="50">
        <v>1.46</v>
      </c>
      <c r="G25" s="29">
        <f t="shared" si="17"/>
        <v>0.2</v>
      </c>
      <c r="H25" s="40">
        <v>1.46</v>
      </c>
      <c r="I25" s="29">
        <f t="shared" si="18"/>
        <v>0.1</v>
      </c>
      <c r="J25" s="40">
        <f t="shared" si="19"/>
        <v>1.46</v>
      </c>
      <c r="K25" s="29">
        <f t="shared" si="20"/>
        <v>0.1</v>
      </c>
      <c r="L25" s="40">
        <f t="shared" si="21"/>
        <v>1.46</v>
      </c>
      <c r="M25" s="29">
        <f t="shared" si="22"/>
        <v>0.1</v>
      </c>
      <c r="N25" s="40">
        <f t="shared" si="23"/>
        <v>1.46</v>
      </c>
      <c r="O25" s="29">
        <f t="shared" si="24"/>
        <v>0.1</v>
      </c>
      <c r="P25" s="40">
        <f t="shared" si="25"/>
        <v>1.46</v>
      </c>
      <c r="Q25" s="29">
        <f t="shared" si="26"/>
        <v>0.1</v>
      </c>
      <c r="R25" s="40">
        <f t="shared" si="27"/>
        <v>1.46</v>
      </c>
      <c r="S25" s="29">
        <f t="shared" si="28"/>
        <v>0.1</v>
      </c>
      <c r="T25" s="40">
        <f t="shared" si="29"/>
        <v>1.46</v>
      </c>
      <c r="U25" s="43">
        <f t="shared" si="30"/>
        <v>0.1</v>
      </c>
      <c r="V25" s="40">
        <v>1.46</v>
      </c>
      <c r="W25" s="29">
        <f t="shared" si="31"/>
        <v>0.1</v>
      </c>
      <c r="X25" s="40">
        <f t="shared" si="32"/>
        <v>1.46</v>
      </c>
      <c r="Y25" s="29">
        <f t="shared" si="33"/>
        <v>0.2</v>
      </c>
    </row>
    <row r="26" spans="1:25" ht="14" customHeight="1" x14ac:dyDescent="0.15">
      <c r="A26" s="28" t="s">
        <v>115</v>
      </c>
      <c r="B26" s="29" t="s">
        <v>13</v>
      </c>
      <c r="C26" s="48">
        <v>53</v>
      </c>
      <c r="D26" s="29" t="s">
        <v>132</v>
      </c>
      <c r="E26" s="47">
        <v>52</v>
      </c>
      <c r="F26" s="50">
        <v>86.91</v>
      </c>
      <c r="G26" s="29">
        <f t="shared" si="17"/>
        <v>4606.2</v>
      </c>
      <c r="H26" s="40">
        <v>86.91</v>
      </c>
      <c r="I26" s="29">
        <f t="shared" si="18"/>
        <v>4519.3</v>
      </c>
      <c r="J26" s="40">
        <f t="shared" si="19"/>
        <v>86.91</v>
      </c>
      <c r="K26" s="29">
        <f t="shared" si="20"/>
        <v>4519.3</v>
      </c>
      <c r="L26" s="40">
        <f t="shared" si="21"/>
        <v>86.91</v>
      </c>
      <c r="M26" s="29">
        <f t="shared" si="22"/>
        <v>4519.3</v>
      </c>
      <c r="N26" s="40">
        <f t="shared" si="23"/>
        <v>86.91</v>
      </c>
      <c r="O26" s="29">
        <f t="shared" si="24"/>
        <v>4519.3</v>
      </c>
      <c r="P26" s="40">
        <f t="shared" si="25"/>
        <v>86.91</v>
      </c>
      <c r="Q26" s="29">
        <f t="shared" si="26"/>
        <v>4519.3</v>
      </c>
      <c r="R26" s="40">
        <f t="shared" si="27"/>
        <v>86.91</v>
      </c>
      <c r="S26" s="29">
        <f t="shared" si="28"/>
        <v>4519.3</v>
      </c>
      <c r="T26" s="40">
        <f t="shared" si="29"/>
        <v>86.91</v>
      </c>
      <c r="U26" s="43">
        <f t="shared" si="30"/>
        <v>4519.3</v>
      </c>
      <c r="V26" s="40">
        <v>86.91</v>
      </c>
      <c r="W26" s="29">
        <f t="shared" si="31"/>
        <v>4519.3</v>
      </c>
      <c r="X26" s="40">
        <f t="shared" si="32"/>
        <v>86.91</v>
      </c>
      <c r="Y26" s="29">
        <f t="shared" si="33"/>
        <v>4606.2</v>
      </c>
    </row>
    <row r="27" spans="1:25" ht="14" customHeight="1" x14ac:dyDescent="0.15">
      <c r="A27" s="28" t="s">
        <v>116</v>
      </c>
      <c r="B27" s="29" t="s">
        <v>97</v>
      </c>
      <c r="C27" s="48">
        <v>38</v>
      </c>
      <c r="D27" s="29" t="s">
        <v>133</v>
      </c>
      <c r="E27" s="47">
        <v>38</v>
      </c>
      <c r="F27" s="50" t="s">
        <v>98</v>
      </c>
      <c r="G27" s="29" t="str">
        <f>ROUND(3.4*C27,1)&amp;" – "&amp;ROUND(17.9*C27,1)</f>
        <v>129.2 – 680.2</v>
      </c>
      <c r="H27" s="40" t="s">
        <v>98</v>
      </c>
      <c r="I27" s="29" t="str">
        <f>ROUND(3.4*E27,1)&amp;" – "&amp;ROUND(17.9*E27,1)</f>
        <v>129.2 – 680.2</v>
      </c>
      <c r="J27" s="40">
        <v>0</v>
      </c>
      <c r="K27" s="29">
        <v>0</v>
      </c>
      <c r="L27" s="40">
        <v>0</v>
      </c>
      <c r="M27" s="29">
        <v>0</v>
      </c>
      <c r="N27" s="40">
        <f t="shared" si="23"/>
        <v>0</v>
      </c>
      <c r="O27" s="29">
        <v>0</v>
      </c>
      <c r="P27" s="40">
        <f t="shared" si="25"/>
        <v>0</v>
      </c>
      <c r="Q27" s="29">
        <v>0</v>
      </c>
      <c r="R27" s="40">
        <v>0</v>
      </c>
      <c r="S27" s="29">
        <v>0</v>
      </c>
      <c r="T27" s="40">
        <v>0</v>
      </c>
      <c r="U27" s="43">
        <v>0</v>
      </c>
      <c r="V27" s="40" t="s">
        <v>98</v>
      </c>
      <c r="W27" s="29" t="str">
        <f>ROUND(3.4*E27,1)&amp;" – "&amp;ROUND(17.9*E27,1)</f>
        <v>129.2 – 680.2</v>
      </c>
      <c r="X27" s="40" t="s">
        <v>98</v>
      </c>
      <c r="Y27" s="29" t="str">
        <f>ROUND(3.4*C27,1)&amp;" – "&amp;ROUND(17.9*C27,1)</f>
        <v>129.2 – 680.2</v>
      </c>
    </row>
    <row r="28" spans="1:25" ht="14" customHeight="1" x14ac:dyDescent="0.15">
      <c r="A28" s="28" t="s">
        <v>117</v>
      </c>
      <c r="B28" s="29" t="s">
        <v>100</v>
      </c>
      <c r="C28" s="48">
        <v>5.5</v>
      </c>
      <c r="D28" s="29" t="s">
        <v>134</v>
      </c>
      <c r="E28" s="47">
        <v>1.772</v>
      </c>
      <c r="F28" s="50">
        <v>646.29999999999995</v>
      </c>
      <c r="G28" s="29">
        <f>ROUND(F28*C28,1)</f>
        <v>3554.7</v>
      </c>
      <c r="H28" s="40">
        <v>646.29999999999995</v>
      </c>
      <c r="I28" s="29">
        <f>ROUND(H28*E28,1)</f>
        <v>1145.2</v>
      </c>
      <c r="J28" s="40">
        <f>ROUND(F12+0.25*F13*11,1)</f>
        <v>942.2</v>
      </c>
      <c r="K28" s="29">
        <f>ROUND((F12+0.25*F13*11)*E28,1)</f>
        <v>1669.6</v>
      </c>
      <c r="L28" s="40">
        <f>ROUND(F12+0.25*F13*4.4,1)</f>
        <v>764.7</v>
      </c>
      <c r="M28" s="29">
        <f>ROUND((F12+0.25*F13*4.4)*E28,1)</f>
        <v>1355</v>
      </c>
      <c r="N28" s="40">
        <f>J28</f>
        <v>942.2</v>
      </c>
      <c r="O28" s="29">
        <f>ROUND((F12+0.25*F13*11)*E32,1)</f>
        <v>447.3</v>
      </c>
      <c r="P28" s="40">
        <f>L28</f>
        <v>764.7</v>
      </c>
      <c r="Q28" s="29">
        <f>ROUND((F12+0.25*F13*4.4)*E32,1)</f>
        <v>363</v>
      </c>
      <c r="R28" s="40">
        <f>ROUND(F12+F13*11,1)</f>
        <v>1829.9</v>
      </c>
      <c r="S28" s="29">
        <f>ROUND((F12+F13*11)*E32,1)</f>
        <v>868.7</v>
      </c>
      <c r="T28" s="40">
        <f>ROUND(F12+F13*4.4,1)</f>
        <v>1119.7</v>
      </c>
      <c r="U28" s="43">
        <f>ROUND((F12+F13*4.4)*E32,1)</f>
        <v>531.5</v>
      </c>
      <c r="V28" s="40">
        <v>784.4</v>
      </c>
      <c r="W28" s="29">
        <f>ROUND(V28*E32,1)</f>
        <v>372.4</v>
      </c>
      <c r="X28" s="40">
        <f>F28</f>
        <v>646.29999999999995</v>
      </c>
      <c r="Y28" s="29">
        <f>ROUND(X28*C32,1)</f>
        <v>365.2</v>
      </c>
    </row>
    <row r="29" spans="1:25" ht="14" customHeight="1" x14ac:dyDescent="0.15">
      <c r="A29" s="28" t="s">
        <v>101</v>
      </c>
      <c r="B29" s="29" t="s">
        <v>102</v>
      </c>
      <c r="C29" s="48">
        <v>42</v>
      </c>
      <c r="D29" s="29" t="s">
        <v>135</v>
      </c>
      <c r="E29" s="47">
        <v>42</v>
      </c>
      <c r="F29" s="50">
        <v>107.6</v>
      </c>
      <c r="G29" s="29">
        <f>ROUND(F29*C29,1)</f>
        <v>4519.2</v>
      </c>
      <c r="H29" s="40">
        <v>107.6</v>
      </c>
      <c r="I29" s="29">
        <f>ROUND(H29*E29,1)</f>
        <v>4519.2</v>
      </c>
      <c r="J29" s="40">
        <f>ROUND(F13*0.75,2)</f>
        <v>80.7</v>
      </c>
      <c r="K29" s="29">
        <f>ROUND(J29*E29,1)</f>
        <v>3389.4</v>
      </c>
      <c r="L29" s="40">
        <f>ROUND(F13*0.75,2)</f>
        <v>80.7</v>
      </c>
      <c r="M29" s="29">
        <f>ROUND(L29*E29,1)</f>
        <v>3389.4</v>
      </c>
      <c r="N29" s="40">
        <f t="shared" si="23"/>
        <v>80.7</v>
      </c>
      <c r="O29" s="29">
        <f>ROUND(N29*E29,1)</f>
        <v>3389.4</v>
      </c>
      <c r="P29" s="40">
        <f t="shared" si="25"/>
        <v>80.7</v>
      </c>
      <c r="Q29" s="29">
        <f>ROUND(P29*E29,1)</f>
        <v>3389.4</v>
      </c>
      <c r="R29" s="40">
        <v>0</v>
      </c>
      <c r="S29" s="29">
        <v>0</v>
      </c>
      <c r="T29" s="40">
        <v>0</v>
      </c>
      <c r="U29" s="43">
        <v>0</v>
      </c>
      <c r="V29" s="40">
        <v>130.6</v>
      </c>
      <c r="W29" s="29">
        <f>ROUND(V29*E29,1)</f>
        <v>5485.2</v>
      </c>
      <c r="X29" s="40">
        <f>F29</f>
        <v>107.6</v>
      </c>
      <c r="Y29" s="29">
        <f>ROUND(X29*C29,1)</f>
        <v>4519.2</v>
      </c>
    </row>
    <row r="30" spans="1:25" ht="14" customHeight="1" x14ac:dyDescent="0.15">
      <c r="A30" s="28" t="s">
        <v>94</v>
      </c>
      <c r="B30" s="29" t="s">
        <v>13</v>
      </c>
      <c r="C30" s="48">
        <v>0.46539999999999998</v>
      </c>
      <c r="D30" s="29" t="s">
        <v>132</v>
      </c>
      <c r="E30" s="47">
        <v>0.22420000000000001</v>
      </c>
      <c r="F30" s="50">
        <v>6.51</v>
      </c>
      <c r="G30" s="29">
        <f>ROUND(F30*C30,1)</f>
        <v>3</v>
      </c>
      <c r="H30" s="40">
        <v>6.51</v>
      </c>
      <c r="I30" s="29">
        <f>ROUND(H30*E30,1)</f>
        <v>1.5</v>
      </c>
      <c r="J30" s="40">
        <f>H30</f>
        <v>6.51</v>
      </c>
      <c r="K30" s="29">
        <f>ROUND(J30*E30,1)</f>
        <v>1.5</v>
      </c>
      <c r="L30" s="40">
        <f>H30</f>
        <v>6.51</v>
      </c>
      <c r="M30" s="29">
        <f>ROUND(L30*E30,1)</f>
        <v>1.5</v>
      </c>
      <c r="N30" s="40">
        <f t="shared" si="23"/>
        <v>6.51</v>
      </c>
      <c r="O30" s="29">
        <f>ROUND(N30*E30,1)</f>
        <v>1.5</v>
      </c>
      <c r="P30" s="40">
        <f t="shared" si="25"/>
        <v>6.51</v>
      </c>
      <c r="Q30" s="29">
        <f>ROUND(P30*E30,1)</f>
        <v>1.5</v>
      </c>
      <c r="R30" s="40">
        <f>H30</f>
        <v>6.51</v>
      </c>
      <c r="S30" s="29">
        <f>ROUND(R30*E30,1)</f>
        <v>1.5</v>
      </c>
      <c r="T30" s="40">
        <f>H30</f>
        <v>6.51</v>
      </c>
      <c r="U30" s="43">
        <f>ROUND(T30*E30,1)</f>
        <v>1.5</v>
      </c>
      <c r="V30" s="40">
        <v>6.51</v>
      </c>
      <c r="W30" s="29">
        <f>ROUND(V30*E30,1)</f>
        <v>1.5</v>
      </c>
      <c r="X30" s="40">
        <f>F30</f>
        <v>6.51</v>
      </c>
      <c r="Y30" s="29">
        <f>ROUND(X30*C30,1)</f>
        <v>3</v>
      </c>
    </row>
    <row r="31" spans="1:25" ht="14" customHeight="1" x14ac:dyDescent="0.15">
      <c r="A31" s="28" t="s">
        <v>118</v>
      </c>
      <c r="B31" s="29" t="s">
        <v>100</v>
      </c>
      <c r="C31" s="48">
        <v>5.5</v>
      </c>
      <c r="D31" s="29" t="s">
        <v>134</v>
      </c>
      <c r="E31" s="47">
        <v>1.772</v>
      </c>
      <c r="F31" s="50" t="s">
        <v>104</v>
      </c>
      <c r="G31" s="29" t="str">
        <f>ROUND(158.5*C31,1)&amp;" – "&amp;ROUND(181.4*C31,1)</f>
        <v>871.8 – 997.7</v>
      </c>
      <c r="H31" s="40" t="s">
        <v>104</v>
      </c>
      <c r="I31" s="29" t="str">
        <f>ROUND(158.5*E31,1)&amp;" – "&amp;ROUND(181.4*E31,1)</f>
        <v>280.9 – 321.4</v>
      </c>
      <c r="J31" s="40" t="str">
        <f>ROUND(158.5+3.4*10.5,1)&amp;" – "&amp;ROUND(181.4+17.9*10.5,1)</f>
        <v>194.2 – 369.4</v>
      </c>
      <c r="K31" s="29" t="str">
        <f>ROUND((158.5+3.4*10.5)*E31,1)&amp;" – "&amp;ROUND((181.4+17.9*10.5)*E31,1)</f>
        <v>344.1 – 654.5</v>
      </c>
      <c r="L31" s="40" t="str">
        <f>ROUND(158.5+3.4*10.5,1)&amp;" – "&amp;ROUND(181.4+17.9*10.5,1)</f>
        <v>194.2 – 369.4</v>
      </c>
      <c r="M31" s="29" t="str">
        <f>ROUND((158.5+3.4*10.5)*E31,1)&amp;" – "&amp;ROUND((181.4+17.9*10.5)*E31,1)</f>
        <v>344.1 – 654.5</v>
      </c>
      <c r="N31" s="40" t="str">
        <f>J31</f>
        <v>194.2 – 369.4</v>
      </c>
      <c r="O31" s="29" t="str">
        <f>ROUND((158.5+3.4*10.5)*E32,1)&amp;" – "&amp;ROUND((181.4+17.9*10.5)*E32,1)</f>
        <v>92.2 – 175.3</v>
      </c>
      <c r="P31" s="40" t="str">
        <f>L31</f>
        <v>194.2 – 369.4</v>
      </c>
      <c r="Q31" s="29" t="str">
        <f>ROUND((158.5+3.4*10.5)*E32,1)&amp;" – "&amp;ROUND((181.4+17.9*10.5)*E32,1)</f>
        <v>92.2 – 175.3</v>
      </c>
      <c r="R31" s="40" t="str">
        <f>ROUND(158.5+3.4*10.5,1)&amp;" – "&amp;ROUND(181.4+17.9*10.5,1)</f>
        <v>194.2 – 369.4</v>
      </c>
      <c r="S31" s="29" t="str">
        <f>ROUND((158.5+3.4*10.5)*E32,1)&amp;" – "&amp;ROUND((181.4+17.9*10.5)*E32,1)</f>
        <v>92.2 – 175.3</v>
      </c>
      <c r="T31" s="40" t="str">
        <f>ROUND(158.5+3.4*10.5,1)&amp;" – "&amp;ROUND(181.4+17.9*10.5,1)</f>
        <v>194.2 – 369.4</v>
      </c>
      <c r="U31" s="43" t="str">
        <f>ROUND((158.5+3.4*10.5)*E32,1)&amp;" – "&amp;ROUND((181.4+17.9*10.5)*E32,1)</f>
        <v>92.2 – 175.3</v>
      </c>
      <c r="V31" s="40" t="s">
        <v>104</v>
      </c>
      <c r="W31" s="29" t="str">
        <f>ROUND(158.5*E32,1)&amp;" – "&amp;ROUND(181.4*E32,1)</f>
        <v>75.2 – 86.1</v>
      </c>
      <c r="X31" s="40" t="s">
        <v>104</v>
      </c>
      <c r="Y31" s="29" t="str">
        <f>ROUND(158.5*C32,1)&amp;" – "&amp;ROUND(181.4*C32,1)</f>
        <v>89.6 – 102.5</v>
      </c>
    </row>
    <row r="32" spans="1:25" ht="14" customHeight="1" x14ac:dyDescent="0.15">
      <c r="A32" s="28" t="s">
        <v>148</v>
      </c>
      <c r="B32" s="29" t="s">
        <v>100</v>
      </c>
      <c r="C32" s="48">
        <v>0.56510000000000005</v>
      </c>
      <c r="D32" s="29" t="s">
        <v>134</v>
      </c>
      <c r="E32" s="47">
        <v>0.47470000000000001</v>
      </c>
      <c r="F32" s="50"/>
      <c r="G32" s="29"/>
      <c r="H32" s="40"/>
      <c r="I32" s="29"/>
      <c r="J32" s="40"/>
      <c r="K32" s="29"/>
      <c r="L32" s="40"/>
      <c r="M32" s="29"/>
      <c r="N32" s="62" t="b">
        <v>1</v>
      </c>
      <c r="O32" s="29"/>
      <c r="P32" s="62" t="b">
        <v>1</v>
      </c>
      <c r="Q32" s="29"/>
      <c r="R32" s="62" t="b">
        <v>1</v>
      </c>
      <c r="S32" s="29"/>
      <c r="T32" s="62" t="b">
        <v>1</v>
      </c>
      <c r="U32" s="43"/>
      <c r="V32" s="40"/>
      <c r="W32" s="29"/>
      <c r="X32" s="40"/>
      <c r="Y32" s="29"/>
    </row>
    <row r="33" spans="1:34" x14ac:dyDescent="0.15">
      <c r="A33" s="34" t="s">
        <v>119</v>
      </c>
      <c r="B33" s="35"/>
      <c r="C33" s="35"/>
      <c r="D33" s="35"/>
      <c r="E33" s="35"/>
      <c r="F33" s="51"/>
      <c r="G33" s="35" t="str">
        <f>ROUND(G21+G22+G23+G24+G25+G26+3.4*C27+G28+G29+G30+158.5*C31,1)&amp;" – "&amp;ROUND(G21+G22+G23+G24+G25+G26+17.9*C27+G28+G29+G30+181.4*C31,1)</f>
        <v>16246.2 – 16923.1</v>
      </c>
      <c r="H33" s="41"/>
      <c r="I33" s="35" t="str">
        <f>ROUND(I21+I22+I23+I24+I25+I26+3.4*E27+I28+I29+I30+158.5*E31,1)&amp;" – "&amp;ROUND(I21+I22+I23+I24+I25+I26+17.9*E27+I28+I29+I30+181.4*E31,1)</f>
        <v>12582.8 – 13174.3</v>
      </c>
      <c r="J33" s="41"/>
      <c r="K33" s="35" t="str">
        <f>ROUND(K21+K22+K23+K24+K25+K26+0+(F12+0.25*F13*11)*E28+K29+K30+(158.5+3.4*10.5)*E31,1)&amp;" – "&amp;ROUND(K21+K22+K23+K24+K25+K26+0+(F12+0.25*F13*11)*E28+K29+K30+(181.4+17.9*10.5)*E31,1)</f>
        <v>11911.4 – 12221.8</v>
      </c>
      <c r="L33" s="41"/>
      <c r="M33" s="35" t="str">
        <f>ROUND(M21+M22+M23+M24+M25+M26+0+(F12+0.25*F13*4.4)*E28+M29+M30+(158.5+3.4*10.5)*E31,1)&amp;" – "&amp;ROUND(M21+M22+M23+M24+M25+M26+0+(F12+0.25*F13*4.4)*E28+M29+M30+(181.4+17.9*10.5)*E31,1)</f>
        <v>11596.8 – 11907.2</v>
      </c>
      <c r="N33" s="41"/>
      <c r="O33" s="35" t="str">
        <f>ROUND(O21+O22+O23+O24+O25+O26+O27+(F12+0.25*F13*11)*E32+O29+O30+(158.5+3.4*10.5)*E32,1)&amp;" – "&amp;ROUND(O21+O22+O23+O24+O25+O26+O27+(F12+0.25*F13*11)*E32+O29+O30+(181.4+17.9*10.5)*E32,1)</f>
        <v>10437.1 – 10520.3</v>
      </c>
      <c r="P33" s="41"/>
      <c r="Q33" s="35" t="str">
        <f>ROUND(Q21+Q22+Q23+Q24+Q25+Q26+Q27+(F12+0.25*F13*4.4)*E32+Q29+Q30+(158.5+3.4*10.5)*E32,1)&amp;" – "&amp;ROUND(Q21+Q22+Q23+Q24+Q25+Q26+Q27+(F12+0.25*F13*4.4)*E32+Q29+Q30+(181.4+17.9*10.5)*E32,1)</f>
        <v>10352.9 – 10436</v>
      </c>
      <c r="R33" s="41"/>
      <c r="S33" s="35" t="str">
        <f>ROUND(S21+S22+S23+S24+S25+S26+0+(F12+F13*11)*E32+0+S30+(158.5+3.4*10.5)*E32,1)&amp;" – "&amp;ROUND(S21+S22+S23+S24+S25+S26+0+(F12+F13*11)*E32+0+S30+(181.4+17.9*10.5)*E32,1)</f>
        <v>7469.1 – 7552.3</v>
      </c>
      <c r="T33" s="41"/>
      <c r="U33" s="44" t="str">
        <f>ROUND(U21+U22+U23+U24+U25+U26+0+(F12+F13*4.4)*E32+0+U30+(158.5+3.4*10.5)*E32,1)&amp;" – "&amp;ROUND(U21+U22+U23+U24+U25+U26+0+(F12+F13*4.4)*E32+0+U30+(181.4+17.9*10.5)*E32,1)</f>
        <v>7132 – 7215.2</v>
      </c>
      <c r="V33" s="41"/>
      <c r="W33" s="35" t="str">
        <f>ROUND(W21+W22+W23+W24+W25+W26+3.4*E27+W28+W29+W30+158.5*E32,1)&amp;" – "&amp;ROUND(W21+W22+W23+W24+W25+W26+17.9*E27+W28+W29+W30+181.4*E32,1)</f>
        <v>12570.3 – 13132.2</v>
      </c>
      <c r="X33" s="41"/>
      <c r="Y33" s="35" t="str">
        <f>ROUND(Y21+Y22+Y23+Y24+Y25+Y26+3.4*C27+Y28+Y29+Y30+158.5*C32,1)&amp;" – "&amp;ROUND(Y21+Y22+Y23+Y24+Y25+Y26+17.9*C27+Y28+Y29+Y30+181.4*C32,1)</f>
        <v>12274.5 – 12838.4</v>
      </c>
    </row>
    <row r="34" spans="1:34" ht="6" customHeight="1" x14ac:dyDescent="0.15">
      <c r="A34" s="28"/>
      <c r="B34" s="29"/>
      <c r="C34" s="29"/>
      <c r="D34" s="29"/>
      <c r="E34" s="29"/>
      <c r="F34" s="50"/>
      <c r="G34" s="29"/>
      <c r="H34" s="40"/>
      <c r="I34" s="29"/>
      <c r="J34" s="40"/>
      <c r="K34" s="29"/>
      <c r="L34" s="40"/>
      <c r="M34" s="29"/>
      <c r="N34" s="40"/>
      <c r="O34" s="29"/>
      <c r="P34" s="40"/>
      <c r="Q34" s="29"/>
      <c r="R34" s="40"/>
      <c r="S34" s="29"/>
      <c r="T34" s="40"/>
      <c r="U34" s="43"/>
      <c r="V34" s="40"/>
      <c r="W34" s="29"/>
    </row>
    <row r="35" spans="1:34" ht="16" customHeight="1" x14ac:dyDescent="0.15">
      <c r="A35" s="76" t="s">
        <v>121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7"/>
    </row>
    <row r="36" spans="1:34" ht="14" customHeight="1" x14ac:dyDescent="0.15">
      <c r="A36" s="28" t="s">
        <v>89</v>
      </c>
      <c r="B36" s="29" t="s">
        <v>13</v>
      </c>
      <c r="C36" s="46">
        <v>60.793999999999997</v>
      </c>
      <c r="D36" s="29" t="s">
        <v>136</v>
      </c>
      <c r="E36" s="46">
        <v>39.363100000000003</v>
      </c>
      <c r="F36" s="50">
        <v>3.9</v>
      </c>
      <c r="G36" s="29">
        <f t="shared" ref="G36:G41" si="34">ROUND(F36*C36/1000,4)</f>
        <v>0.23710000000000001</v>
      </c>
      <c r="H36" s="40">
        <v>3.9</v>
      </c>
      <c r="I36" s="29">
        <f t="shared" ref="I36:I41" si="35">ROUND(H36*E36/1000,4)</f>
        <v>0.1535</v>
      </c>
      <c r="J36" s="40">
        <f t="shared" ref="J36:J41" si="36">H36</f>
        <v>3.9</v>
      </c>
      <c r="K36" s="29">
        <f t="shared" ref="K36:K41" si="37">ROUND(J36*E36/1000,4)</f>
        <v>0.1535</v>
      </c>
      <c r="L36" s="40">
        <f t="shared" ref="L36:L41" si="38">H36</f>
        <v>3.9</v>
      </c>
      <c r="M36" s="29">
        <f t="shared" ref="M36:M41" si="39">ROUND(L36*E36/1000,4)</f>
        <v>0.1535</v>
      </c>
      <c r="N36" s="40">
        <f t="shared" ref="N36:N47" si="40">J36</f>
        <v>3.9</v>
      </c>
      <c r="O36" s="29">
        <f t="shared" ref="O36:O41" si="41">ROUND(N36*E36/1000,4)</f>
        <v>0.1535</v>
      </c>
      <c r="P36" s="40">
        <f t="shared" ref="P36:P47" si="42">L36</f>
        <v>3.9</v>
      </c>
      <c r="Q36" s="29">
        <f t="shared" ref="Q36:Q41" si="43">ROUND(P36*E36/1000,4)</f>
        <v>0.1535</v>
      </c>
      <c r="R36" s="40">
        <f t="shared" ref="R36:R41" si="44">H36</f>
        <v>3.9</v>
      </c>
      <c r="S36" s="29">
        <f t="shared" ref="S36:S41" si="45">ROUND(R36*E36/1000,4)</f>
        <v>0.1535</v>
      </c>
      <c r="T36" s="40">
        <f t="shared" ref="T36:T41" si="46">H36</f>
        <v>3.9</v>
      </c>
      <c r="U36" s="43">
        <f t="shared" ref="U36:U41" si="47">ROUND(T36*E36/1000,4)</f>
        <v>0.1535</v>
      </c>
      <c r="V36" s="40">
        <v>3.9</v>
      </c>
      <c r="W36" s="29">
        <f t="shared" ref="W36:W41" si="48">ROUND(V36*E36/1000,4)</f>
        <v>0.1535</v>
      </c>
      <c r="X36" s="40">
        <f t="shared" ref="X36:X41" si="49">F36</f>
        <v>3.9</v>
      </c>
      <c r="Y36" s="29">
        <f t="shared" ref="Y36:Y41" si="50">ROUND(X36*C36/1000,4)</f>
        <v>0.23710000000000001</v>
      </c>
    </row>
    <row r="37" spans="1:34" ht="14" customHeight="1" x14ac:dyDescent="0.15">
      <c r="A37" s="28" t="s">
        <v>90</v>
      </c>
      <c r="B37" s="29" t="s">
        <v>13</v>
      </c>
      <c r="C37" s="46">
        <v>35.701999999999998</v>
      </c>
      <c r="D37" s="29" t="s">
        <v>136</v>
      </c>
      <c r="E37" s="46">
        <v>26.263100000000001</v>
      </c>
      <c r="F37" s="50">
        <v>0.7</v>
      </c>
      <c r="G37" s="29">
        <f t="shared" si="34"/>
        <v>2.5000000000000001E-2</v>
      </c>
      <c r="H37" s="40">
        <v>0.7</v>
      </c>
      <c r="I37" s="29">
        <f t="shared" si="35"/>
        <v>1.84E-2</v>
      </c>
      <c r="J37" s="40">
        <f t="shared" si="36"/>
        <v>0.7</v>
      </c>
      <c r="K37" s="29">
        <f t="shared" si="37"/>
        <v>1.84E-2</v>
      </c>
      <c r="L37" s="40">
        <f t="shared" si="38"/>
        <v>0.7</v>
      </c>
      <c r="M37" s="29">
        <f t="shared" si="39"/>
        <v>1.84E-2</v>
      </c>
      <c r="N37" s="40">
        <f t="shared" si="40"/>
        <v>0.7</v>
      </c>
      <c r="O37" s="29">
        <f t="shared" si="41"/>
        <v>1.84E-2</v>
      </c>
      <c r="P37" s="40">
        <f t="shared" si="42"/>
        <v>0.7</v>
      </c>
      <c r="Q37" s="29">
        <f t="shared" si="43"/>
        <v>1.84E-2</v>
      </c>
      <c r="R37" s="40">
        <f t="shared" si="44"/>
        <v>0.7</v>
      </c>
      <c r="S37" s="29">
        <f t="shared" si="45"/>
        <v>1.84E-2</v>
      </c>
      <c r="T37" s="40">
        <f t="shared" si="46"/>
        <v>0.7</v>
      </c>
      <c r="U37" s="43">
        <f t="shared" si="47"/>
        <v>1.84E-2</v>
      </c>
      <c r="V37" s="40">
        <v>0.7</v>
      </c>
      <c r="W37" s="29">
        <f t="shared" si="48"/>
        <v>1.84E-2</v>
      </c>
      <c r="X37" s="40">
        <f t="shared" si="49"/>
        <v>0.7</v>
      </c>
      <c r="Y37" s="29">
        <f t="shared" si="50"/>
        <v>2.5000000000000001E-2</v>
      </c>
    </row>
    <row r="38" spans="1:34" ht="14" customHeight="1" x14ac:dyDescent="0.15">
      <c r="A38" s="28" t="s">
        <v>112</v>
      </c>
      <c r="B38" s="29" t="s">
        <v>13</v>
      </c>
      <c r="C38" s="46">
        <v>32.954799999999999</v>
      </c>
      <c r="D38" s="29" t="s">
        <v>136</v>
      </c>
      <c r="E38" s="46">
        <v>32.394300000000001</v>
      </c>
      <c r="F38" s="50">
        <v>30.96</v>
      </c>
      <c r="G38" s="29">
        <f t="shared" si="34"/>
        <v>1.0203</v>
      </c>
      <c r="H38" s="40">
        <v>30.96</v>
      </c>
      <c r="I38" s="29">
        <f t="shared" si="35"/>
        <v>1.0028999999999999</v>
      </c>
      <c r="J38" s="40">
        <f t="shared" si="36"/>
        <v>30.96</v>
      </c>
      <c r="K38" s="29">
        <f t="shared" si="37"/>
        <v>1.0028999999999999</v>
      </c>
      <c r="L38" s="40">
        <f t="shared" si="38"/>
        <v>30.96</v>
      </c>
      <c r="M38" s="29">
        <f t="shared" si="39"/>
        <v>1.0028999999999999</v>
      </c>
      <c r="N38" s="40">
        <f t="shared" si="40"/>
        <v>30.96</v>
      </c>
      <c r="O38" s="29">
        <f t="shared" si="41"/>
        <v>1.0028999999999999</v>
      </c>
      <c r="P38" s="40">
        <f t="shared" si="42"/>
        <v>30.96</v>
      </c>
      <c r="Q38" s="29">
        <f t="shared" si="43"/>
        <v>1.0028999999999999</v>
      </c>
      <c r="R38" s="40">
        <f t="shared" si="44"/>
        <v>30.96</v>
      </c>
      <c r="S38" s="29">
        <f t="shared" si="45"/>
        <v>1.0028999999999999</v>
      </c>
      <c r="T38" s="40">
        <f t="shared" si="46"/>
        <v>30.96</v>
      </c>
      <c r="U38" s="43">
        <f t="shared" si="47"/>
        <v>1.0028999999999999</v>
      </c>
      <c r="V38" s="40">
        <v>30.96</v>
      </c>
      <c r="W38" s="29">
        <f t="shared" si="48"/>
        <v>1.0028999999999999</v>
      </c>
      <c r="X38" s="40">
        <f t="shared" si="49"/>
        <v>30.96</v>
      </c>
      <c r="Y38" s="29">
        <f t="shared" si="50"/>
        <v>1.0203</v>
      </c>
    </row>
    <row r="39" spans="1:34" ht="14" customHeight="1" x14ac:dyDescent="0.15">
      <c r="A39" s="28" t="s">
        <v>113</v>
      </c>
      <c r="B39" s="29" t="s">
        <v>13</v>
      </c>
      <c r="C39" s="46">
        <v>3.6876000000000002</v>
      </c>
      <c r="D39" s="29" t="s">
        <v>136</v>
      </c>
      <c r="E39" s="46">
        <v>3.2690000000000001</v>
      </c>
      <c r="F39" s="50">
        <v>41.49</v>
      </c>
      <c r="G39" s="29">
        <f t="shared" si="34"/>
        <v>0.153</v>
      </c>
      <c r="H39" s="40">
        <v>41.49</v>
      </c>
      <c r="I39" s="29">
        <f t="shared" si="35"/>
        <v>0.1356</v>
      </c>
      <c r="J39" s="40">
        <f t="shared" si="36"/>
        <v>41.49</v>
      </c>
      <c r="K39" s="29">
        <f t="shared" si="37"/>
        <v>0.1356</v>
      </c>
      <c r="L39" s="40">
        <f t="shared" si="38"/>
        <v>41.49</v>
      </c>
      <c r="M39" s="29">
        <f t="shared" si="39"/>
        <v>0.1356</v>
      </c>
      <c r="N39" s="40">
        <f t="shared" si="40"/>
        <v>41.49</v>
      </c>
      <c r="O39" s="29">
        <f t="shared" si="41"/>
        <v>0.1356</v>
      </c>
      <c r="P39" s="40">
        <f t="shared" si="42"/>
        <v>41.49</v>
      </c>
      <c r="Q39" s="29">
        <f t="shared" si="43"/>
        <v>0.1356</v>
      </c>
      <c r="R39" s="40">
        <f t="shared" si="44"/>
        <v>41.49</v>
      </c>
      <c r="S39" s="29">
        <f t="shared" si="45"/>
        <v>0.1356</v>
      </c>
      <c r="T39" s="40">
        <f t="shared" si="46"/>
        <v>41.49</v>
      </c>
      <c r="U39" s="43">
        <f t="shared" si="47"/>
        <v>0.1356</v>
      </c>
      <c r="V39" s="40">
        <v>41.49</v>
      </c>
      <c r="W39" s="29">
        <f t="shared" si="48"/>
        <v>0.1356</v>
      </c>
      <c r="X39" s="40">
        <f t="shared" si="49"/>
        <v>41.49</v>
      </c>
      <c r="Y39" s="29">
        <f t="shared" si="50"/>
        <v>0.153</v>
      </c>
    </row>
    <row r="40" spans="1:34" ht="14" customHeight="1" x14ac:dyDescent="0.15">
      <c r="A40" s="28" t="s">
        <v>114</v>
      </c>
      <c r="B40" s="29" t="s">
        <v>13</v>
      </c>
      <c r="C40" s="46">
        <v>0.1099</v>
      </c>
      <c r="D40" s="29" t="s">
        <v>136</v>
      </c>
      <c r="E40" s="46">
        <v>0.1086</v>
      </c>
      <c r="F40" s="50">
        <v>1.46</v>
      </c>
      <c r="G40" s="29">
        <f t="shared" si="34"/>
        <v>2.0000000000000001E-4</v>
      </c>
      <c r="H40" s="40">
        <v>1.46</v>
      </c>
      <c r="I40" s="29">
        <f t="shared" si="35"/>
        <v>2.0000000000000001E-4</v>
      </c>
      <c r="J40" s="40">
        <f t="shared" si="36"/>
        <v>1.46</v>
      </c>
      <c r="K40" s="29">
        <f t="shared" si="37"/>
        <v>2.0000000000000001E-4</v>
      </c>
      <c r="L40" s="40">
        <f t="shared" si="38"/>
        <v>1.46</v>
      </c>
      <c r="M40" s="29">
        <f t="shared" si="39"/>
        <v>2.0000000000000001E-4</v>
      </c>
      <c r="N40" s="40">
        <f t="shared" si="40"/>
        <v>1.46</v>
      </c>
      <c r="O40" s="29">
        <f t="shared" si="41"/>
        <v>2.0000000000000001E-4</v>
      </c>
      <c r="P40" s="40">
        <f t="shared" si="42"/>
        <v>1.46</v>
      </c>
      <c r="Q40" s="29">
        <f t="shared" si="43"/>
        <v>2.0000000000000001E-4</v>
      </c>
      <c r="R40" s="40">
        <f t="shared" si="44"/>
        <v>1.46</v>
      </c>
      <c r="S40" s="29">
        <f t="shared" si="45"/>
        <v>2.0000000000000001E-4</v>
      </c>
      <c r="T40" s="40">
        <f t="shared" si="46"/>
        <v>1.46</v>
      </c>
      <c r="U40" s="43">
        <f t="shared" si="47"/>
        <v>2.0000000000000001E-4</v>
      </c>
      <c r="V40" s="40">
        <v>1.46</v>
      </c>
      <c r="W40" s="29">
        <f t="shared" si="48"/>
        <v>2.0000000000000001E-4</v>
      </c>
      <c r="X40" s="40">
        <f t="shared" si="49"/>
        <v>1.46</v>
      </c>
      <c r="Y40" s="29">
        <f t="shared" si="50"/>
        <v>2.0000000000000001E-4</v>
      </c>
    </row>
    <row r="41" spans="1:34" ht="14" customHeight="1" x14ac:dyDescent="0.15">
      <c r="A41" s="28" t="s">
        <v>115</v>
      </c>
      <c r="B41" s="29" t="s">
        <v>13</v>
      </c>
      <c r="C41" s="46">
        <v>15.194599999999999</v>
      </c>
      <c r="D41" s="29" t="s">
        <v>136</v>
      </c>
      <c r="E41" s="46">
        <v>14.823600000000001</v>
      </c>
      <c r="F41" s="50">
        <v>86.91</v>
      </c>
      <c r="G41" s="29">
        <f t="shared" si="34"/>
        <v>1.3206</v>
      </c>
      <c r="H41" s="40">
        <v>86.91</v>
      </c>
      <c r="I41" s="29">
        <f t="shared" si="35"/>
        <v>1.2883</v>
      </c>
      <c r="J41" s="40">
        <f t="shared" si="36"/>
        <v>86.91</v>
      </c>
      <c r="K41" s="29">
        <f t="shared" si="37"/>
        <v>1.2883</v>
      </c>
      <c r="L41" s="40">
        <f t="shared" si="38"/>
        <v>86.91</v>
      </c>
      <c r="M41" s="29">
        <f t="shared" si="39"/>
        <v>1.2883</v>
      </c>
      <c r="N41" s="40">
        <f t="shared" si="40"/>
        <v>86.91</v>
      </c>
      <c r="O41" s="29">
        <f t="shared" si="41"/>
        <v>1.2883</v>
      </c>
      <c r="P41" s="40">
        <f t="shared" si="42"/>
        <v>86.91</v>
      </c>
      <c r="Q41" s="29">
        <f t="shared" si="43"/>
        <v>1.2883</v>
      </c>
      <c r="R41" s="40">
        <f t="shared" si="44"/>
        <v>86.91</v>
      </c>
      <c r="S41" s="29">
        <f t="shared" si="45"/>
        <v>1.2883</v>
      </c>
      <c r="T41" s="40">
        <f t="shared" si="46"/>
        <v>86.91</v>
      </c>
      <c r="U41" s="43">
        <f t="shared" si="47"/>
        <v>1.2883</v>
      </c>
      <c r="V41" s="40">
        <v>86.91</v>
      </c>
      <c r="W41" s="29">
        <f t="shared" si="48"/>
        <v>1.2883</v>
      </c>
      <c r="X41" s="40">
        <f t="shared" si="49"/>
        <v>86.91</v>
      </c>
      <c r="Y41" s="29">
        <f t="shared" si="50"/>
        <v>1.3206</v>
      </c>
    </row>
    <row r="42" spans="1:34" ht="14" customHeight="1" x14ac:dyDescent="0.15">
      <c r="A42" s="28" t="s">
        <v>116</v>
      </c>
      <c r="B42" s="29" t="s">
        <v>97</v>
      </c>
      <c r="C42" s="46">
        <v>0.4148</v>
      </c>
      <c r="D42" s="29" t="s">
        <v>137</v>
      </c>
      <c r="E42" s="46">
        <v>0.40529999999999999</v>
      </c>
      <c r="F42" s="50" t="s">
        <v>98</v>
      </c>
      <c r="G42" s="29" t="str">
        <f>ROUND(3.4*C42/1000,4)&amp;" – "&amp;ROUND(17.9*C42/1000,4)</f>
        <v>0.0014 – 0.0074</v>
      </c>
      <c r="H42" s="40" t="s">
        <v>98</v>
      </c>
      <c r="I42" s="29" t="str">
        <f>ROUND(3.4*E42/1000,4)&amp;" – "&amp;ROUND(17.9*E42/1000,4)</f>
        <v>0.0014 – 0.0073</v>
      </c>
      <c r="J42" s="40">
        <v>0</v>
      </c>
      <c r="K42" s="29">
        <v>0</v>
      </c>
      <c r="L42" s="40">
        <v>0</v>
      </c>
      <c r="M42" s="29">
        <v>0</v>
      </c>
      <c r="N42" s="40">
        <f t="shared" si="40"/>
        <v>0</v>
      </c>
      <c r="O42" s="29">
        <v>0</v>
      </c>
      <c r="P42" s="40">
        <f t="shared" si="42"/>
        <v>0</v>
      </c>
      <c r="Q42" s="29">
        <v>0</v>
      </c>
      <c r="R42" s="40">
        <v>0</v>
      </c>
      <c r="S42" s="29">
        <v>0</v>
      </c>
      <c r="T42" s="40">
        <v>0</v>
      </c>
      <c r="U42" s="43">
        <v>0</v>
      </c>
      <c r="V42" s="40" t="s">
        <v>98</v>
      </c>
      <c r="W42" s="29" t="str">
        <f>ROUND(3.4*E42/1000,4)&amp;" – "&amp;ROUND(17.9*E42/1000,4)</f>
        <v>0.0014 – 0.0073</v>
      </c>
      <c r="X42" s="40" t="s">
        <v>98</v>
      </c>
      <c r="Y42" s="29" t="str">
        <f>ROUND(3.4*C42/1000,4)&amp;" – "&amp;ROUND(17.9*C42/1000,4)</f>
        <v>0.0014 – 0.0074</v>
      </c>
    </row>
    <row r="43" spans="1:34" ht="14" customHeight="1" x14ac:dyDescent="0.15">
      <c r="A43" s="28" t="s">
        <v>117</v>
      </c>
      <c r="B43" s="29" t="s">
        <v>100</v>
      </c>
      <c r="C43" s="46">
        <v>1.9301999999999999</v>
      </c>
      <c r="D43" s="29" t="s">
        <v>138</v>
      </c>
      <c r="E43" s="46">
        <v>1.1515</v>
      </c>
      <c r="F43" s="50">
        <v>646.29999999999995</v>
      </c>
      <c r="G43" s="29">
        <f>ROUND(F43*C43/1000,4)</f>
        <v>1.2475000000000001</v>
      </c>
      <c r="H43" s="40">
        <v>646.29999999999995</v>
      </c>
      <c r="I43" s="29">
        <f>ROUND(H43*E43/1000,4)</f>
        <v>0.74419999999999997</v>
      </c>
      <c r="J43" s="40">
        <f>ROUND(F12+0.25*F13*11,1)</f>
        <v>942.2</v>
      </c>
      <c r="K43" s="29">
        <f>ROUND((F12+0.25*F13*11)*E43/1000,4)</f>
        <v>1.0849</v>
      </c>
      <c r="L43" s="40">
        <f>ROUND(F12+0.25*F13*4.4,1)</f>
        <v>764.7</v>
      </c>
      <c r="M43" s="29">
        <f>ROUND((F12+0.25*F13*4.4)*E43/1000,4)</f>
        <v>0.88049999999999995</v>
      </c>
      <c r="N43" s="40">
        <f>J43</f>
        <v>942.2</v>
      </c>
      <c r="O43" s="29">
        <f>ROUND((F12+0.25*F13*11)*E48/1000,4)</f>
        <v>0.59370000000000001</v>
      </c>
      <c r="P43" s="40">
        <f>L43</f>
        <v>764.7</v>
      </c>
      <c r="Q43" s="29">
        <f>ROUND((F12+0.25*F13*4.4)*E48/1000,4)</f>
        <v>0.48180000000000001</v>
      </c>
      <c r="R43" s="40">
        <f>ROUND(F12+F13*11,1)</f>
        <v>1829.9</v>
      </c>
      <c r="S43" s="29">
        <f>ROUND((F12+F13*11)*E48/1000,4)</f>
        <v>1.153</v>
      </c>
      <c r="T43" s="40">
        <f>ROUND(F12+F13*4.4,1)</f>
        <v>1119.7</v>
      </c>
      <c r="U43" s="43">
        <f>ROUND((F12+F13*4.4)*E48/1000,4)</f>
        <v>0.70550000000000002</v>
      </c>
      <c r="V43" s="40">
        <v>784.4</v>
      </c>
      <c r="W43" s="29">
        <f>ROUND(V43*E48/1000,4)</f>
        <v>0.49430000000000002</v>
      </c>
      <c r="X43" s="40">
        <f>F43</f>
        <v>646.29999999999995</v>
      </c>
      <c r="Y43" s="29">
        <f>ROUND(X43*C48/1000,4)</f>
        <v>0.4194</v>
      </c>
    </row>
    <row r="44" spans="1:34" ht="14" customHeight="1" x14ac:dyDescent="0.15">
      <c r="A44" s="28" t="s">
        <v>101</v>
      </c>
      <c r="B44" s="29" t="s">
        <v>102</v>
      </c>
      <c r="C44" s="46">
        <v>2.9213</v>
      </c>
      <c r="D44" s="29" t="s">
        <v>139</v>
      </c>
      <c r="E44" s="46">
        <v>2.8292999999999999</v>
      </c>
      <c r="F44" s="50">
        <v>107.6</v>
      </c>
      <c r="G44" s="29">
        <f>ROUND(F44*C44/1000,4)</f>
        <v>0.31430000000000002</v>
      </c>
      <c r="H44" s="40">
        <v>107.6</v>
      </c>
      <c r="I44" s="29">
        <f>ROUND(H44*E44/1000,4)</f>
        <v>0.3044</v>
      </c>
      <c r="J44" s="40">
        <f>ROUND(F13*0.75,2)</f>
        <v>80.7</v>
      </c>
      <c r="K44" s="29">
        <f>ROUND(J44*E44/1000,4)</f>
        <v>0.2283</v>
      </c>
      <c r="L44" s="40">
        <f>ROUND(F13*0.75,2)</f>
        <v>80.7</v>
      </c>
      <c r="M44" s="29">
        <f>ROUND(L44*E44/1000,4)</f>
        <v>0.2283</v>
      </c>
      <c r="N44" s="40">
        <f t="shared" si="40"/>
        <v>80.7</v>
      </c>
      <c r="O44" s="29">
        <f>ROUND(N44*E44/1000,4)</f>
        <v>0.2283</v>
      </c>
      <c r="P44" s="40">
        <f t="shared" si="42"/>
        <v>80.7</v>
      </c>
      <c r="Q44" s="29">
        <f>ROUND(P44*E44/1000,4)</f>
        <v>0.2283</v>
      </c>
      <c r="R44" s="40">
        <v>0</v>
      </c>
      <c r="S44" s="29">
        <v>0</v>
      </c>
      <c r="T44" s="40">
        <v>0</v>
      </c>
      <c r="U44" s="43">
        <v>0</v>
      </c>
      <c r="V44" s="40">
        <v>130.6</v>
      </c>
      <c r="W44" s="29">
        <f>ROUND(V44*E44/1000,4)</f>
        <v>0.3695</v>
      </c>
      <c r="X44" s="40">
        <f>F44</f>
        <v>107.6</v>
      </c>
      <c r="Y44" s="29">
        <f>ROUND(X44*C44/1000,4)</f>
        <v>0.31430000000000002</v>
      </c>
    </row>
    <row r="45" spans="1:34" ht="14" customHeight="1" x14ac:dyDescent="0.15">
      <c r="A45" s="28" t="s">
        <v>94</v>
      </c>
      <c r="B45" s="29" t="s">
        <v>13</v>
      </c>
      <c r="C45" s="46">
        <v>0.86719999999999997</v>
      </c>
      <c r="D45" s="29" t="s">
        <v>136</v>
      </c>
      <c r="E45" s="46">
        <v>0.81679999999999997</v>
      </c>
      <c r="F45" s="50">
        <v>6.51</v>
      </c>
      <c r="G45" s="29">
        <f>ROUND(F45*C45/1000,4)</f>
        <v>5.5999999999999999E-3</v>
      </c>
      <c r="H45" s="40">
        <v>6.51</v>
      </c>
      <c r="I45" s="29">
        <f>ROUND(H45*E45/1000,4)</f>
        <v>5.3E-3</v>
      </c>
      <c r="J45" s="40">
        <f>H45</f>
        <v>6.51</v>
      </c>
      <c r="K45" s="29">
        <f>ROUND(J45*E45/1000,4)</f>
        <v>5.3E-3</v>
      </c>
      <c r="L45" s="40">
        <f>H45</f>
        <v>6.51</v>
      </c>
      <c r="M45" s="29">
        <f>ROUND(L45*E45/1000,4)</f>
        <v>5.3E-3</v>
      </c>
      <c r="N45" s="40">
        <f t="shared" si="40"/>
        <v>6.51</v>
      </c>
      <c r="O45" s="29">
        <f>ROUND(N45*E45/1000,4)</f>
        <v>5.3E-3</v>
      </c>
      <c r="P45" s="40">
        <f t="shared" si="42"/>
        <v>6.51</v>
      </c>
      <c r="Q45" s="29">
        <f>ROUND(P45*E45/1000,4)</f>
        <v>5.3E-3</v>
      </c>
      <c r="R45" s="40">
        <f>H45</f>
        <v>6.51</v>
      </c>
      <c r="S45" s="29">
        <f>ROUND(R45*E45/1000,4)</f>
        <v>5.3E-3</v>
      </c>
      <c r="T45" s="40">
        <f>H45</f>
        <v>6.51</v>
      </c>
      <c r="U45" s="43">
        <f>ROUND(T45*E45/1000,4)</f>
        <v>5.3E-3</v>
      </c>
      <c r="V45" s="40">
        <v>6.51</v>
      </c>
      <c r="W45" s="29">
        <f>ROUND(V45*E45/1000,4)</f>
        <v>5.3E-3</v>
      </c>
      <c r="X45" s="40">
        <f>F45</f>
        <v>6.51</v>
      </c>
      <c r="Y45" s="29">
        <f>ROUND(X45*C45/1000,4)</f>
        <v>5.5999999999999999E-3</v>
      </c>
      <c r="AA45" s="63" t="s">
        <v>181</v>
      </c>
    </row>
    <row r="46" spans="1:34" ht="14" customHeight="1" x14ac:dyDescent="0.15">
      <c r="A46" s="28" t="s">
        <v>118</v>
      </c>
      <c r="B46" s="29" t="s">
        <v>100</v>
      </c>
      <c r="C46" s="46">
        <v>1.9301999999999999</v>
      </c>
      <c r="D46" s="29" t="s">
        <v>138</v>
      </c>
      <c r="E46" s="46">
        <v>1.1515</v>
      </c>
      <c r="F46" s="50" t="s">
        <v>104</v>
      </c>
      <c r="G46" s="29" t="str">
        <f>ROUND(158.5*C46/1000,4)&amp;" – "&amp;ROUND(181.4*C46/1000,4)</f>
        <v>0.3059 – 0.3501</v>
      </c>
      <c r="H46" s="40" t="s">
        <v>104</v>
      </c>
      <c r="I46" s="29" t="str">
        <f>ROUND(158.5*E46/1000,4)&amp;" – "&amp;ROUND(181.4*E46/1000,4)</f>
        <v>0.1825 – 0.2089</v>
      </c>
      <c r="J46" s="40" t="str">
        <f>ROUND(158.5+3.4*10.5,1)&amp;" – "&amp;ROUND(181.4+17.9*10.5,1)</f>
        <v>194.2 – 369.4</v>
      </c>
      <c r="K46" s="29" t="str">
        <f>ROUND((158.5+3.4*10.5)*E46/1000,4)&amp;" – "&amp;ROUND((181.4+17.9*10.5)*E46/1000,4)</f>
        <v>0.2236 – 0.4253</v>
      </c>
      <c r="L46" s="40" t="str">
        <f>ROUND(158.5+3.4*10.5,1)&amp;" – "&amp;ROUND(181.4+17.9*10.5,1)</f>
        <v>194.2 – 369.4</v>
      </c>
      <c r="M46" s="29" t="str">
        <f>ROUND((158.5+3.4*10.5)*E46/1000,4)&amp;" – "&amp;ROUND((181.4+17.9*10.5)*E46/1000,4)</f>
        <v>0.2236 – 0.4253</v>
      </c>
      <c r="N46" s="40" t="str">
        <f>J46</f>
        <v>194.2 – 369.4</v>
      </c>
      <c r="O46" s="29" t="str">
        <f>ROUND((158.5+3.4*10.5)*E48/1000,4)&amp;" – "&amp;ROUND((181.4+17.9*10.5)*E48/1000,4)</f>
        <v>0.1224 – 0.2327</v>
      </c>
      <c r="P46" s="40" t="str">
        <f>L46</f>
        <v>194.2 – 369.4</v>
      </c>
      <c r="Q46" s="29" t="str">
        <f>ROUND((158.5+3.4*10.5)*E48/1000,4)&amp;" – "&amp;ROUND((181.4+17.9*10.5)*E48/1000,4)</f>
        <v>0.1224 – 0.2327</v>
      </c>
      <c r="R46" s="40" t="str">
        <f>ROUND(158.5+3.4*10.5,1)&amp;" – "&amp;ROUND(181.4+17.9*10.5,1)</f>
        <v>194.2 – 369.4</v>
      </c>
      <c r="S46" s="29" t="str">
        <f>ROUND((158.5+3.4*10.5)*E48/1000,4)&amp;" – "&amp;ROUND((181.4+17.9*10.5)*E48/1000,4)</f>
        <v>0.1224 – 0.2327</v>
      </c>
      <c r="T46" s="40" t="str">
        <f>ROUND(158.5+3.4*10.5,1)&amp;" – "&amp;ROUND(181.4+17.9*10.5,1)</f>
        <v>194.2 – 369.4</v>
      </c>
      <c r="U46" s="43" t="str">
        <f>ROUND((158.5+3.4*10.5)*E48/1000,4)&amp;" – "&amp;ROUND((181.4+17.9*10.5)*E48/1000,4)</f>
        <v>0.1224 – 0.2327</v>
      </c>
      <c r="V46" s="40" t="s">
        <v>104</v>
      </c>
      <c r="W46" s="29" t="str">
        <f>ROUND(158.5*E48/1000,4)&amp;" – "&amp;ROUND(181.4*E48/1000,4)</f>
        <v>0.0999 – 0.1143</v>
      </c>
      <c r="X46" s="40" t="s">
        <v>104</v>
      </c>
      <c r="Y46" s="29" t="str">
        <f>ROUND(158.5*C48/1000,4)&amp;" – "&amp;ROUND(181.4*C48/1000,4)</f>
        <v>0.1029 – 0.1177</v>
      </c>
      <c r="AA46" s="64" t="s">
        <v>182</v>
      </c>
      <c r="AB46" s="64" t="s">
        <v>183</v>
      </c>
      <c r="AC46" s="64" t="s">
        <v>184</v>
      </c>
      <c r="AD46" s="64" t="s">
        <v>185</v>
      </c>
      <c r="AE46" s="64" t="s">
        <v>186</v>
      </c>
      <c r="AF46" s="64" t="s">
        <v>187</v>
      </c>
      <c r="AG46" s="64" t="s">
        <v>188</v>
      </c>
      <c r="AH46" s="64" t="s">
        <v>189</v>
      </c>
    </row>
    <row r="47" spans="1:34" ht="14" customHeight="1" x14ac:dyDescent="0.15">
      <c r="A47" s="28" t="s">
        <v>106</v>
      </c>
      <c r="B47" s="29" t="s">
        <v>97</v>
      </c>
      <c r="C47" s="29" t="s">
        <v>122</v>
      </c>
      <c r="D47" s="29"/>
      <c r="E47" s="29" t="s">
        <v>122</v>
      </c>
      <c r="F47" s="50">
        <v>967.5</v>
      </c>
      <c r="G47" s="29" t="str">
        <f>ROUND(967.5/1.42,1)&amp;" – "&amp;ROUND(967.5*1.42,1)</f>
        <v>681.3 – 1373.9</v>
      </c>
      <c r="H47" s="40" t="s">
        <v>180</v>
      </c>
      <c r="I47" s="29" t="str">
        <f>AG47&amp;" – "&amp;AH47</f>
        <v>677.6 – 1780.6</v>
      </c>
      <c r="J47" s="40" t="str">
        <f>H47</f>
        <v>787.9 – 1531.3</v>
      </c>
      <c r="K47" s="29" t="str">
        <f>I47</f>
        <v>677.6 – 1780.6</v>
      </c>
      <c r="L47" s="40" t="str">
        <f>H47</f>
        <v>787.9 – 1531.3</v>
      </c>
      <c r="M47" s="29" t="str">
        <f>I47</f>
        <v>677.6 – 1780.6</v>
      </c>
      <c r="N47" s="40" t="str">
        <f t="shared" si="40"/>
        <v>787.9 – 1531.3</v>
      </c>
      <c r="O47" s="29" t="str">
        <f>I47</f>
        <v>677.6 – 1780.6</v>
      </c>
      <c r="P47" s="40" t="str">
        <f t="shared" si="42"/>
        <v>787.9 – 1531.3</v>
      </c>
      <c r="Q47" s="29" t="str">
        <f>I47</f>
        <v>677.6 – 1780.6</v>
      </c>
      <c r="R47" s="40" t="str">
        <f>I47</f>
        <v>677.6 – 1780.6</v>
      </c>
      <c r="S47" s="29" t="str">
        <f>I47</f>
        <v>677.6 – 1780.6</v>
      </c>
      <c r="T47" s="40" t="str">
        <f>I47</f>
        <v>677.6 – 1780.6</v>
      </c>
      <c r="U47" s="43" t="str">
        <f>I47</f>
        <v>677.6 – 1780.6</v>
      </c>
      <c r="V47" s="40" t="str">
        <f>H47</f>
        <v>787.9 – 1531.3</v>
      </c>
      <c r="W47" s="29" t="str">
        <f>I47</f>
        <v>677.6 – 1780.6</v>
      </c>
      <c r="X47" s="40">
        <f>F47</f>
        <v>967.5</v>
      </c>
      <c r="Y47" s="29" t="str">
        <f>ROUND(967.5/1.42,1)&amp;" – "&amp;ROUND(967.5*1.42,1)</f>
        <v>681.3 – 1373.9</v>
      </c>
      <c r="AA47">
        <f>VALUE(LEFT(H47,FIND("–",H47)-1))</f>
        <v>787.9</v>
      </c>
      <c r="AB47">
        <f>VALUE(MID(H47,FIND("–",H47)+1,20))</f>
        <v>1531.3</v>
      </c>
      <c r="AC47" s="65">
        <f>SQRT(AA47*AB47)</f>
        <v>1098.4130689317203</v>
      </c>
      <c r="AD47" s="66">
        <f>AB47/AC47</f>
        <v>1.3941021308944284</v>
      </c>
      <c r="AE47" s="67">
        <v>1.42</v>
      </c>
      <c r="AF47" s="66">
        <f>EXP(SQRT(LN(AD47)^2+LN(AE47)^2))</f>
        <v>1.6210334089613163</v>
      </c>
      <c r="AG47">
        <f>ROUND(AC47/AF47,1)</f>
        <v>677.6</v>
      </c>
      <c r="AH47">
        <f>ROUND(AC47*AF47,1)</f>
        <v>1780.6</v>
      </c>
    </row>
    <row r="48" spans="1:34" ht="14" customHeight="1" x14ac:dyDescent="0.15">
      <c r="A48" s="28" t="s">
        <v>148</v>
      </c>
      <c r="B48" s="29" t="s">
        <v>100</v>
      </c>
      <c r="C48" s="48">
        <v>0.64900000000000002</v>
      </c>
      <c r="D48" s="29" t="s">
        <v>138</v>
      </c>
      <c r="E48" s="29">
        <v>0.63009999999999999</v>
      </c>
      <c r="F48" s="50"/>
      <c r="G48" s="29"/>
      <c r="H48" s="40"/>
      <c r="I48" s="29"/>
      <c r="J48" s="40"/>
      <c r="K48" s="29"/>
      <c r="L48" s="40"/>
      <c r="M48" s="29"/>
      <c r="N48" s="62" t="b">
        <v>1</v>
      </c>
      <c r="O48" s="29"/>
      <c r="P48" s="62" t="b">
        <v>1</v>
      </c>
      <c r="Q48" s="29"/>
      <c r="R48" s="62" t="b">
        <v>1</v>
      </c>
      <c r="S48" s="29"/>
      <c r="T48" s="62" t="b">
        <v>1</v>
      </c>
      <c r="U48" s="43"/>
      <c r="V48" s="40"/>
      <c r="W48" s="29"/>
      <c r="X48" s="40"/>
      <c r="Y48" s="29"/>
    </row>
    <row r="49" spans="1:25" ht="14" customHeight="1" x14ac:dyDescent="0.15">
      <c r="A49" s="34" t="s">
        <v>119</v>
      </c>
      <c r="B49" s="35" t="s">
        <v>97</v>
      </c>
      <c r="C49" s="35"/>
      <c r="D49" s="33"/>
      <c r="E49" s="33"/>
      <c r="F49" s="52"/>
      <c r="G49" s="33" t="str">
        <f>ROUND(G36+G37+G38+G39+G40+G41+3.4*C42/1000+G43+G44+G45+158.5*C46/1000+967.5/1.42,1)&amp;" – "&amp;ROUND(G36+G37+G38+G39+G40+G41+17.9*C42/1000+G43+G44+G45+181.4*C46/1000+967.5*1.42,1)</f>
        <v>686 – 1378.5</v>
      </c>
      <c r="H49" s="41"/>
      <c r="I49" s="33" t="str">
        <f>ROUND(I36+I37+I38+I39+I40+I41+3.4*E42/1000+I43+I44+I45+158.5*E46/1000+$AG$47,1)&amp;" – "&amp;ROUND(I36+I37+I38+I39+I40+I41+17.9*E42/1000+I43+I44+I45+181.4*E46/1000+$AH$47,1)</f>
        <v>681.4 – 1784.5</v>
      </c>
      <c r="J49" s="41"/>
      <c r="K49" s="33" t="str">
        <f>ROUND(K36+K37+K38+K39+K40+K41+0+(F12+0.25*F13*11)*E43/1000+K44+K45+(158.5+3.4*10.5)*E46/1000+$AG$47,1)&amp;" – "&amp;ROUND(K36+K37+K38+K39+K40+K41+0+(F12+0.25*F13*11)*E43/1000+K44+K45+(181.4+17.9*10.5)*E46/1000+$AH$47,1)</f>
        <v>681.7 – 1784.9</v>
      </c>
      <c r="L49" s="41"/>
      <c r="M49" s="33" t="str">
        <f>ROUND(M36+M37+M38+M39+M40+M41+0+(F12+0.25*F13*4.4)*E43/1000+M44+M45+(158.5+3.4*10.5)*E46/1000+$AG$47,1)&amp;" – "&amp;ROUND(M36+M37+M38+M39+M40+M41+0+(F12+0.25*F13*4.4)*E43/1000+M44+M45+(181.4+17.9*10.5)*E46/1000+$AH$47,1)</f>
        <v>681.5 – 1784.7</v>
      </c>
      <c r="N49" s="41"/>
      <c r="O49" s="33" t="str">
        <f>ROUND(O36+O37+O38+O39+O40+O41+O42+(F12+0.25*F13*11)*E48/1000+O44+O45+(158.5+3.4*10.5)*E48/1000+$AG$47,1)&amp;" – "&amp;ROUND(O36+O37+O38+O39+O40+O41+O42+(F12+0.25*F13*11)*E48/1000+O44+O45+(181.4+17.9*10.5)*E48/1000+$AH$47,1)</f>
        <v>681.1 – 1784.3</v>
      </c>
      <c r="P49" s="41"/>
      <c r="Q49" s="33" t="str">
        <f>ROUND(Q36+Q37+Q38+Q39+Q40+Q41+Q42+(F12+0.25*F13*4.4)*E48/1000+Q44+Q45+(158.5+3.4*10.5)*E48/1000+$AG$47,1)&amp;" – "&amp;ROUND(Q36+Q37+Q38+Q39+Q40+Q41+Q42+(F12+0.25*F13*4.4)*E48/1000+Q44+Q45+(181.4+17.9*10.5)*E48/1000+$AH$47,1)</f>
        <v>681 – 1784.1</v>
      </c>
      <c r="R49" s="41"/>
      <c r="S49" s="33" t="str">
        <f>ROUND(S36+S37+S38+S39+S40+S41+0+(F12+F13*11)*E48/1000+0+S45+(158.5+3.4*10.5)*E48/1000+$AG$47,1)&amp;" – "&amp;ROUND(S36+S37+S38+S39+S40+S41+0+(F12+F13*11)*E48/1000+0+S45+(181.4+17.9*10.5)*E48/1000+$AH$47,1)</f>
        <v>681.5 – 1784.6</v>
      </c>
      <c r="T49" s="41"/>
      <c r="U49" s="44" t="str">
        <f>ROUND(U36+U37+U38+U39+U40+U41+0+(F12+F13*4.4)*E48/1000+0+U45+(158.5+3.4*10.5)*E48/1000+$AG$47,1)&amp;" – "&amp;ROUND(U36+U37+U38+U39+U40+U41+0+(F12+F13*4.4)*E48/1000+0+U45+(181.4+17.9*10.5)*E48/1000+$AH$47,1)</f>
        <v>681 – 1784.1</v>
      </c>
      <c r="V49" s="41"/>
      <c r="W49" s="33" t="str">
        <f>ROUND(W36+W37+W38+W39+W40+W41+3.4*E42/1000+W43+W44+W45+158.5*E48/1000+$AG$47,1)&amp;" – "&amp;ROUND(W36+W37+W38+W39+W40+W41+17.9*E42/1000+W43+W44+W45+181.4*E48/1000+$AH$47,1)</f>
        <v>681.2 – 1784.2</v>
      </c>
      <c r="X49" s="41"/>
      <c r="Y49" s="33" t="str">
        <f>ROUND(Y36+Y37+Y38+Y39+Y40+Y41+3.4*C42/1000+Y43+Y44+Y45+158.5*C48/1000+967.5/1.42,1)&amp;" – "&amp;ROUND(Y36+Y37+Y38+Y39+Y40+Y41+17.9*C42/1000+Y43+Y44+Y45+181.4*C48/1000+967.5*1.42,1)</f>
        <v>684.9 – 1377.5</v>
      </c>
    </row>
    <row r="50" spans="1:25" ht="4" customHeight="1" thickBot="1" x14ac:dyDescent="0.2">
      <c r="A50" s="36"/>
      <c r="B50" s="37"/>
      <c r="C50" s="38"/>
      <c r="D50" s="37"/>
      <c r="E50" s="37"/>
      <c r="F50" s="53"/>
      <c r="G50" s="37"/>
      <c r="H50" s="38"/>
      <c r="I50" s="37"/>
      <c r="J50" s="38"/>
      <c r="K50" s="37"/>
      <c r="L50" s="38"/>
      <c r="M50" s="37"/>
      <c r="N50" s="38"/>
      <c r="O50" s="37"/>
      <c r="P50" s="38"/>
      <c r="Q50" s="37"/>
      <c r="R50" s="38"/>
      <c r="S50" s="37"/>
      <c r="T50" s="38"/>
      <c r="U50" s="38"/>
      <c r="V50" s="38"/>
      <c r="W50" s="37"/>
    </row>
    <row r="51" spans="1:25" ht="14" thickTop="1" x14ac:dyDescent="0.15">
      <c r="A51" s="75" t="s">
        <v>123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 spans="1:25" x14ac:dyDescent="0.15">
      <c r="A52" s="72" t="s">
        <v>190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 spans="1:25" x14ac:dyDescent="0.15">
      <c r="A53" s="72" t="s">
        <v>151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</sheetData>
  <mergeCells count="18">
    <mergeCell ref="A1:U1"/>
    <mergeCell ref="A51:U51"/>
    <mergeCell ref="A52:U52"/>
    <mergeCell ref="A4:U4"/>
    <mergeCell ref="A20:U20"/>
    <mergeCell ref="A35:U35"/>
    <mergeCell ref="N2:O2"/>
    <mergeCell ref="P2:Q2"/>
    <mergeCell ref="R2:S2"/>
    <mergeCell ref="T2:U2"/>
    <mergeCell ref="H2:I2"/>
    <mergeCell ref="J2:K2"/>
    <mergeCell ref="L2:M2"/>
    <mergeCell ref="F2:G2"/>
    <mergeCell ref="C2:E2"/>
    <mergeCell ref="V2:W2"/>
    <mergeCell ref="X2:Y2"/>
    <mergeCell ref="A53:U5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Emission Factors (2025)</vt:lpstr>
      <vt:lpstr>Emission Factors (2049)</vt:lpstr>
      <vt:lpstr>LCI Inventory Data</vt:lpstr>
      <vt:lpstr>Fuel Combustion Factors</vt:lpstr>
      <vt:lpstr>LCA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Pengxiao Zhou</cp:lastModifiedBy>
  <cp:revision/>
  <dcterms:created xsi:type="dcterms:W3CDTF">2026-02-18T02:10:24Z</dcterms:created>
  <dcterms:modified xsi:type="dcterms:W3CDTF">2026-09-24T23:40:20Z</dcterms:modified>
  <cp:category/>
  <cp:contentStatus/>
</cp:coreProperties>
</file>