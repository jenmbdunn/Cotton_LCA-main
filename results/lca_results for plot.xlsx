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pengxiao/Downloads/"/>
    </mc:Choice>
  </mc:AlternateContent>
  <xr:revisionPtr revIDLastSave="0" documentId="13_ncr:1_{1461AD68-68FA-164F-9A47-E56EB6165DC2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mRcP1YAU+6wmhCVE/NwUXbZAKUhjrY0RmlCRbJ4cAk="/>
    </ext>
  </extLst>
</workbook>
</file>

<file path=xl/calcChain.xml><?xml version="1.0" encoding="utf-8"?>
<calcChain xmlns="http://schemas.openxmlformats.org/spreadsheetml/2006/main">
  <c r="A34" i="1" l="1"/>
  <c r="A25" i="1"/>
  <c r="A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6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ID#AAABlnyexBo
</t>
        </r>
        <r>
          <rPr>
            <sz val="11"/>
            <color rgb="FF000000"/>
            <rFont val="Calibri"/>
            <family val="2"/>
          </rPr>
          <t xml:space="preserve">Pengxiao    (2025-06-12 04:07:49)
</t>
        </r>
        <r>
          <rPr>
            <sz val="11"/>
            <color rgb="FF000000"/>
            <rFont val="Calibri"/>
            <family val="2"/>
          </rPr>
          <t>predicted average of 2049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xedkgbWAS1v0ZmrVim1ndSrxrw=="/>
    </ext>
  </extLst>
</comments>
</file>

<file path=xl/sharedStrings.xml><?xml version="1.0" encoding="utf-8"?>
<sst xmlns="http://schemas.openxmlformats.org/spreadsheetml/2006/main" count="164" uniqueCount="23">
  <si>
    <t>1kg cotton 2023</t>
  </si>
  <si>
    <t>total GHG</t>
  </si>
  <si>
    <t>Herbicides</t>
  </si>
  <si>
    <t>Insecticides</t>
  </si>
  <si>
    <t>Phosphoric acid P2O5</t>
  </si>
  <si>
    <t>Potassium Oxide</t>
  </si>
  <si>
    <t>Calcium Carbonate</t>
  </si>
  <si>
    <t>Electricity</t>
  </si>
  <si>
    <t>Nitrogen</t>
  </si>
  <si>
    <t>Diesel For Non Road Applications</t>
  </si>
  <si>
    <t>irrigation water</t>
  </si>
  <si>
    <t>kg</t>
  </si>
  <si>
    <t>g</t>
  </si>
  <si>
    <t>mg</t>
  </si>
  <si>
    <t>total energy</t>
  </si>
  <si>
    <t>MJ</t>
  </si>
  <si>
    <t>kJ</t>
  </si>
  <si>
    <t>J</t>
  </si>
  <si>
    <t>total water</t>
  </si>
  <si>
    <t>m^3</t>
  </si>
  <si>
    <t>cm^3</t>
  </si>
  <si>
    <t>1kg cotton 2049 with irrigation water change and elec mix evolve</t>
  </si>
  <si>
    <t>1kg cotton 2049 pro-elec scenario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</si>
</sst>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S17" sqref="S17"/>
    </sheetView>
  </sheetViews>
  <sheetFormatPr baseColWidth="10" defaultColWidth="14.5" defaultRowHeight="15" customHeight="1" x14ac:dyDescent="0.2"/>
  <cols>
    <col min="1" max="26" width="8.6640625" customWidth="1"/>
  </cols>
  <sheetData>
    <row r="1" spans="1:20" x14ac:dyDescent="0.2">
      <c r="A1" s="1" t="s">
        <v>0</v>
      </c>
    </row>
    <row r="2" spans="1:20" x14ac:dyDescent="0.2">
      <c r="A2" s="1" t="s">
        <v>1</v>
      </c>
      <c r="C2" s="1" t="s">
        <v>2</v>
      </c>
      <c r="E2" s="1" t="s">
        <v>3</v>
      </c>
      <c r="G2" s="1" t="s">
        <v>4</v>
      </c>
      <c r="I2" s="1" t="s">
        <v>5</v>
      </c>
      <c r="K2" s="1" t="s">
        <v>6</v>
      </c>
      <c r="M2" s="1" t="s">
        <v>7</v>
      </c>
      <c r="O2" s="1" t="s">
        <v>8</v>
      </c>
      <c r="Q2" s="1" t="s">
        <v>9</v>
      </c>
      <c r="S2" s="1" t="s">
        <v>10</v>
      </c>
    </row>
    <row r="3" spans="1:20" x14ac:dyDescent="0.2">
      <c r="A3" s="1">
        <v>1.2287999999999999</v>
      </c>
      <c r="B3" s="1" t="s">
        <v>11</v>
      </c>
      <c r="C3" s="1">
        <v>96.705200000000005</v>
      </c>
      <c r="D3" s="1" t="s">
        <v>12</v>
      </c>
      <c r="E3" s="1">
        <v>14.7006</v>
      </c>
      <c r="F3" s="1" t="s">
        <v>12</v>
      </c>
      <c r="G3" s="1">
        <v>54.763199999999998</v>
      </c>
      <c r="H3" s="1" t="s">
        <v>12</v>
      </c>
      <c r="I3" s="1">
        <v>12.908799999999999</v>
      </c>
      <c r="J3" s="1" t="s">
        <v>12</v>
      </c>
      <c r="K3" s="1">
        <v>14.225899999999999</v>
      </c>
      <c r="L3" s="1" t="s">
        <v>13</v>
      </c>
      <c r="M3" s="1">
        <v>0.32629999999999998</v>
      </c>
      <c r="N3" s="1" t="s">
        <v>11</v>
      </c>
      <c r="O3" s="1">
        <v>0.30480000000000002</v>
      </c>
      <c r="P3" s="1" t="s">
        <v>11</v>
      </c>
      <c r="Q3" s="1">
        <v>0.41849999999999998</v>
      </c>
      <c r="R3" s="1" t="s">
        <v>11</v>
      </c>
      <c r="S3" s="1">
        <v>0</v>
      </c>
    </row>
    <row r="4" spans="1:20" x14ac:dyDescent="0.2">
      <c r="A4" s="1" t="s">
        <v>14</v>
      </c>
    </row>
    <row r="5" spans="1:20" x14ac:dyDescent="0.2">
      <c r="A5" s="1">
        <v>19</v>
      </c>
      <c r="B5" s="1" t="s">
        <v>15</v>
      </c>
      <c r="C5" s="1">
        <v>1560</v>
      </c>
      <c r="D5" s="1" t="s">
        <v>16</v>
      </c>
      <c r="E5" s="1">
        <v>216.3004</v>
      </c>
      <c r="F5" s="1" t="s">
        <v>16</v>
      </c>
      <c r="G5" s="1">
        <v>813.63199999999995</v>
      </c>
      <c r="H5" s="1" t="s">
        <v>16</v>
      </c>
      <c r="I5" s="1">
        <v>295.83920000000001</v>
      </c>
      <c r="J5" s="1" t="s">
        <v>16</v>
      </c>
      <c r="K5" s="1">
        <v>186.0548</v>
      </c>
      <c r="L5" s="1" t="s">
        <v>17</v>
      </c>
      <c r="M5" s="1">
        <v>5719</v>
      </c>
      <c r="N5" s="1" t="s">
        <v>16</v>
      </c>
      <c r="O5" s="1">
        <v>4829</v>
      </c>
      <c r="P5" s="1" t="s">
        <v>16</v>
      </c>
      <c r="Q5" s="1">
        <v>5520</v>
      </c>
      <c r="R5" s="1" t="s">
        <v>16</v>
      </c>
      <c r="S5" s="1">
        <v>0</v>
      </c>
    </row>
    <row r="6" spans="1:20" x14ac:dyDescent="0.2">
      <c r="A6" s="1" t="s">
        <v>18</v>
      </c>
    </row>
    <row r="7" spans="1:20" x14ac:dyDescent="0.2">
      <c r="A7" s="1">
        <v>0.97250000000000003</v>
      </c>
      <c r="B7" s="1" t="s">
        <v>19</v>
      </c>
      <c r="C7" s="1">
        <v>241.8682</v>
      </c>
      <c r="D7" s="1" t="s">
        <v>20</v>
      </c>
      <c r="E7" s="1">
        <v>25.451599999999999</v>
      </c>
      <c r="F7" s="1" t="s">
        <v>20</v>
      </c>
      <c r="G7" s="1">
        <v>1022.5973</v>
      </c>
      <c r="H7" s="1" t="s">
        <v>20</v>
      </c>
      <c r="I7" s="1">
        <v>410.40570000000002</v>
      </c>
      <c r="J7" s="1" t="s">
        <v>20</v>
      </c>
      <c r="K7" s="1">
        <v>0.16189999999999999</v>
      </c>
      <c r="L7" s="1" t="s">
        <v>20</v>
      </c>
      <c r="M7" s="1">
        <v>1545.4535000000001</v>
      </c>
      <c r="N7" s="1" t="s">
        <v>20</v>
      </c>
      <c r="O7" s="1">
        <v>1326.001</v>
      </c>
      <c r="P7" s="1" t="s">
        <v>20</v>
      </c>
      <c r="Q7" s="1">
        <v>386.83819999999997</v>
      </c>
      <c r="R7" s="1" t="s">
        <v>20</v>
      </c>
      <c r="S7" s="1">
        <v>0.96750000000000003</v>
      </c>
      <c r="T7" s="1" t="s">
        <v>19</v>
      </c>
    </row>
    <row r="10" spans="1:20" x14ac:dyDescent="0.2">
      <c r="A10" s="1" t="s">
        <v>21</v>
      </c>
    </row>
    <row r="11" spans="1:20" x14ac:dyDescent="0.2">
      <c r="A11" s="1" t="s">
        <v>1</v>
      </c>
      <c r="C11" s="1" t="s">
        <v>2</v>
      </c>
      <c r="E11" s="1" t="s">
        <v>3</v>
      </c>
      <c r="G11" s="1" t="s">
        <v>4</v>
      </c>
      <c r="I11" s="1" t="s">
        <v>5</v>
      </c>
      <c r="K11" s="1" t="s">
        <v>6</v>
      </c>
      <c r="M11" s="1" t="s">
        <v>7</v>
      </c>
      <c r="O11" s="1" t="s">
        <v>8</v>
      </c>
      <c r="Q11" s="1" t="s">
        <v>9</v>
      </c>
      <c r="S11" s="1" t="s">
        <v>10</v>
      </c>
    </row>
    <row r="12" spans="1:20" x14ac:dyDescent="0.2">
      <c r="A12" s="1">
        <v>0.99260000000000004</v>
      </c>
      <c r="B12" s="1" t="s">
        <v>11</v>
      </c>
      <c r="C12" s="1">
        <v>70.8613</v>
      </c>
      <c r="D12" s="1" t="s">
        <v>12</v>
      </c>
      <c r="E12" s="1">
        <v>12.6617</v>
      </c>
      <c r="F12" s="1" t="s">
        <v>12</v>
      </c>
      <c r="G12" s="1">
        <v>49.334800000000001</v>
      </c>
      <c r="H12" s="1" t="s">
        <v>12</v>
      </c>
      <c r="I12" s="1">
        <v>12.7539</v>
      </c>
      <c r="J12" s="1" t="s">
        <v>12</v>
      </c>
      <c r="K12" s="1">
        <v>12.092599999999999</v>
      </c>
      <c r="L12" s="1" t="s">
        <v>13</v>
      </c>
      <c r="M12" s="1">
        <v>0.13750000000000001</v>
      </c>
      <c r="N12" s="1" t="s">
        <v>11</v>
      </c>
      <c r="O12" s="1">
        <v>0.29430000000000001</v>
      </c>
      <c r="P12" s="1" t="s">
        <v>11</v>
      </c>
      <c r="Q12" s="1">
        <v>0.41520000000000001</v>
      </c>
      <c r="R12" s="1" t="s">
        <v>11</v>
      </c>
      <c r="S12" s="1">
        <v>0</v>
      </c>
    </row>
    <row r="13" spans="1:20" x14ac:dyDescent="0.2">
      <c r="A13" s="1" t="s">
        <v>14</v>
      </c>
    </row>
    <row r="14" spans="1:20" x14ac:dyDescent="0.2">
      <c r="A14" s="1">
        <v>17</v>
      </c>
      <c r="B14" s="1" t="s">
        <v>15</v>
      </c>
      <c r="C14" s="1">
        <v>1354</v>
      </c>
      <c r="D14" s="1" t="s">
        <v>16</v>
      </c>
      <c r="E14" s="1">
        <v>200.2099</v>
      </c>
      <c r="F14" s="1" t="s">
        <v>16</v>
      </c>
      <c r="G14" s="1">
        <v>770.03560000000004</v>
      </c>
      <c r="H14" s="1" t="s">
        <v>16</v>
      </c>
      <c r="I14" s="1">
        <v>293.95429999999999</v>
      </c>
      <c r="J14" s="1" t="s">
        <v>16</v>
      </c>
      <c r="K14" s="1">
        <v>153.17490000000001</v>
      </c>
      <c r="L14" s="1" t="s">
        <v>17</v>
      </c>
      <c r="M14" s="1">
        <v>4218</v>
      </c>
      <c r="N14" s="1" t="s">
        <v>16</v>
      </c>
      <c r="O14" s="1">
        <v>4740</v>
      </c>
      <c r="P14" s="1" t="s">
        <v>16</v>
      </c>
      <c r="Q14" s="1">
        <v>5501</v>
      </c>
      <c r="R14" s="1" t="s">
        <v>16</v>
      </c>
      <c r="S14" s="1">
        <v>0</v>
      </c>
    </row>
    <row r="15" spans="1:20" x14ac:dyDescent="0.2">
      <c r="A15" s="1" t="s">
        <v>18</v>
      </c>
    </row>
    <row r="16" spans="1:20" x14ac:dyDescent="0.2">
      <c r="A16" s="1">
        <f>(C16+E16+G16+I16+K16+M16+O16+Q16)/1000000+S16</f>
        <v>1.2605803421999999</v>
      </c>
      <c r="B16" s="1" t="s">
        <v>19</v>
      </c>
      <c r="C16" s="1">
        <v>200.51750000000001</v>
      </c>
      <c r="D16" s="1" t="s">
        <v>20</v>
      </c>
      <c r="E16" s="1">
        <v>22.1709</v>
      </c>
      <c r="F16" s="1" t="s">
        <v>20</v>
      </c>
      <c r="G16" s="1">
        <v>1013.9043</v>
      </c>
      <c r="H16" s="1" t="s">
        <v>20</v>
      </c>
      <c r="I16" s="1">
        <v>410.17250000000001</v>
      </c>
      <c r="J16" s="1" t="s">
        <v>20</v>
      </c>
      <c r="K16" s="1">
        <v>0.15939999999999999</v>
      </c>
      <c r="L16" s="1" t="s">
        <v>20</v>
      </c>
      <c r="M16" s="1">
        <v>1243.6977999999999</v>
      </c>
      <c r="N16" s="1" t="s">
        <v>20</v>
      </c>
      <c r="O16" s="1">
        <v>1309.3802000000001</v>
      </c>
      <c r="P16" s="1" t="s">
        <v>20</v>
      </c>
      <c r="Q16" s="1">
        <v>380.33960000000002</v>
      </c>
      <c r="R16" s="1" t="s">
        <v>20</v>
      </c>
      <c r="S16" s="1">
        <v>1.256</v>
      </c>
      <c r="T16" s="1" t="s">
        <v>19</v>
      </c>
    </row>
    <row r="19" spans="1:20" x14ac:dyDescent="0.2">
      <c r="A19" s="1" t="s">
        <v>22</v>
      </c>
    </row>
    <row r="20" spans="1:20" x14ac:dyDescent="0.2">
      <c r="A20" s="1" t="s">
        <v>1</v>
      </c>
      <c r="C20" s="1" t="s">
        <v>2</v>
      </c>
      <c r="E20" s="1" t="s">
        <v>3</v>
      </c>
      <c r="G20" s="1" t="s">
        <v>4</v>
      </c>
      <c r="I20" s="1" t="s">
        <v>5</v>
      </c>
      <c r="K20" s="1" t="s">
        <v>6</v>
      </c>
      <c r="M20" s="1" t="s">
        <v>7</v>
      </c>
      <c r="O20" s="1" t="s">
        <v>8</v>
      </c>
      <c r="Q20" s="1" t="s">
        <v>9</v>
      </c>
      <c r="S20" s="1" t="s">
        <v>10</v>
      </c>
    </row>
    <row r="21" spans="1:20" ht="15.75" customHeight="1" x14ac:dyDescent="0.2">
      <c r="A21" s="1">
        <v>0.82750000000000001</v>
      </c>
      <c r="B21" s="1" t="s">
        <v>11</v>
      </c>
      <c r="C21" s="1">
        <v>70.8613</v>
      </c>
      <c r="D21" s="1" t="s">
        <v>12</v>
      </c>
      <c r="E21" s="1">
        <v>12.6617</v>
      </c>
      <c r="F21" s="1" t="s">
        <v>12</v>
      </c>
      <c r="G21" s="1">
        <v>49.334800000000001</v>
      </c>
      <c r="H21" s="1" t="s">
        <v>12</v>
      </c>
      <c r="I21" s="1">
        <v>12.7539</v>
      </c>
      <c r="J21" s="1" t="s">
        <v>12</v>
      </c>
      <c r="K21" s="1">
        <v>12.092599999999999</v>
      </c>
      <c r="L21" s="1" t="s">
        <v>13</v>
      </c>
      <c r="M21" s="1">
        <v>0.3876</v>
      </c>
      <c r="N21" s="1" t="s">
        <v>11</v>
      </c>
      <c r="O21" s="1">
        <v>0.29430000000000001</v>
      </c>
      <c r="P21" s="1" t="s">
        <v>11</v>
      </c>
      <c r="Q21" s="1">
        <v>0</v>
      </c>
      <c r="R21" s="1" t="s">
        <v>11</v>
      </c>
      <c r="S21" s="1">
        <v>0</v>
      </c>
    </row>
    <row r="22" spans="1:20" ht="15.75" customHeight="1" x14ac:dyDescent="0.2">
      <c r="A22" s="1" t="s">
        <v>14</v>
      </c>
    </row>
    <row r="23" spans="1:20" ht="15.75" customHeight="1" x14ac:dyDescent="0.2">
      <c r="A23" s="1">
        <v>19</v>
      </c>
      <c r="B23" s="1" t="s">
        <v>15</v>
      </c>
      <c r="C23" s="1">
        <v>1354</v>
      </c>
      <c r="D23" s="1" t="s">
        <v>16</v>
      </c>
      <c r="E23" s="1">
        <v>200.2099</v>
      </c>
      <c r="F23" s="1" t="s">
        <v>16</v>
      </c>
      <c r="G23" s="1">
        <v>770.03560000000004</v>
      </c>
      <c r="H23" s="1" t="s">
        <v>16</v>
      </c>
      <c r="I23" s="1">
        <v>293.95429999999999</v>
      </c>
      <c r="J23" s="1" t="s">
        <v>16</v>
      </c>
      <c r="K23" s="1">
        <v>153.17490000000001</v>
      </c>
      <c r="L23" s="1" t="s">
        <v>17</v>
      </c>
      <c r="M23" s="1">
        <v>12000</v>
      </c>
      <c r="N23" s="2" t="s">
        <v>16</v>
      </c>
      <c r="O23" s="1">
        <v>4740</v>
      </c>
      <c r="P23" s="1" t="s">
        <v>16</v>
      </c>
      <c r="Q23" s="1">
        <v>0</v>
      </c>
      <c r="R23" s="1" t="s">
        <v>16</v>
      </c>
      <c r="S23" s="1">
        <v>0</v>
      </c>
    </row>
    <row r="24" spans="1:20" ht="15.75" customHeight="1" x14ac:dyDescent="0.2">
      <c r="A24" s="1" t="s">
        <v>18</v>
      </c>
    </row>
    <row r="25" spans="1:20" ht="15.75" customHeight="1" x14ac:dyDescent="0.2">
      <c r="A25" s="1">
        <f>(C25+E25+G25+I25+K25+M25+O25+Q25)/1000000+S25</f>
        <v>1.2624619344000001</v>
      </c>
      <c r="B25" s="1" t="s">
        <v>19</v>
      </c>
      <c r="C25" s="1">
        <v>200.51750000000001</v>
      </c>
      <c r="D25" s="1" t="s">
        <v>20</v>
      </c>
      <c r="E25" s="1">
        <v>22.1709</v>
      </c>
      <c r="F25" s="1" t="s">
        <v>20</v>
      </c>
      <c r="G25" s="1">
        <v>1013.9043</v>
      </c>
      <c r="H25" s="1" t="s">
        <v>20</v>
      </c>
      <c r="I25" s="1">
        <v>410.17250000000001</v>
      </c>
      <c r="J25" s="1" t="s">
        <v>20</v>
      </c>
      <c r="K25" s="1">
        <v>0.15939999999999999</v>
      </c>
      <c r="L25" s="1" t="s">
        <v>20</v>
      </c>
      <c r="M25" s="1">
        <v>3505.6296000000002</v>
      </c>
      <c r="N25" s="1" t="s">
        <v>20</v>
      </c>
      <c r="O25" s="1">
        <v>1309.3802000000001</v>
      </c>
      <c r="P25" s="1" t="s">
        <v>20</v>
      </c>
      <c r="Q25" s="1">
        <v>0</v>
      </c>
      <c r="R25" s="1" t="s">
        <v>20</v>
      </c>
      <c r="S25" s="1">
        <v>1.256</v>
      </c>
      <c r="T25" s="1" t="s">
        <v>19</v>
      </c>
    </row>
    <row r="26" spans="1:20" ht="15.75" customHeight="1" x14ac:dyDescent="0.2"/>
    <row r="27" spans="1:20" ht="15.75" customHeight="1" x14ac:dyDescent="0.2"/>
    <row r="28" spans="1:20" ht="15.75" customHeight="1" x14ac:dyDescent="0.2">
      <c r="A28" s="1" t="s">
        <v>22</v>
      </c>
    </row>
    <row r="29" spans="1:20" ht="15.75" customHeight="1" x14ac:dyDescent="0.2">
      <c r="A29" s="1" t="s">
        <v>1</v>
      </c>
      <c r="C29" s="1" t="s">
        <v>2</v>
      </c>
      <c r="E29" s="1" t="s">
        <v>3</v>
      </c>
      <c r="G29" s="1" t="s">
        <v>4</v>
      </c>
      <c r="I29" s="1" t="s">
        <v>5</v>
      </c>
      <c r="K29" s="1" t="s">
        <v>6</v>
      </c>
      <c r="M29" s="1" t="s">
        <v>7</v>
      </c>
      <c r="O29" s="1" t="s">
        <v>8</v>
      </c>
      <c r="Q29" s="1" t="s">
        <v>9</v>
      </c>
      <c r="S29" s="1" t="s">
        <v>10</v>
      </c>
    </row>
    <row r="30" spans="1:20" ht="15.75" customHeight="1" x14ac:dyDescent="0.2">
      <c r="A30" s="1">
        <v>0.67820000000000003</v>
      </c>
      <c r="B30" s="1" t="s">
        <v>11</v>
      </c>
      <c r="C30" s="1">
        <v>70.8613</v>
      </c>
      <c r="D30" s="1" t="s">
        <v>12</v>
      </c>
      <c r="E30" s="1">
        <v>12.6617</v>
      </c>
      <c r="F30" s="1" t="s">
        <v>12</v>
      </c>
      <c r="G30" s="1">
        <v>49.334800000000001</v>
      </c>
      <c r="H30" s="1" t="s">
        <v>12</v>
      </c>
      <c r="I30" s="1">
        <v>12.7539</v>
      </c>
      <c r="J30" s="1" t="s">
        <v>12</v>
      </c>
      <c r="K30" s="1">
        <v>12.092599999999999</v>
      </c>
      <c r="L30" s="1" t="s">
        <v>13</v>
      </c>
      <c r="M30" s="1">
        <v>0.23830000000000001</v>
      </c>
      <c r="N30" s="1" t="s">
        <v>11</v>
      </c>
      <c r="O30" s="1">
        <v>0.29430000000000001</v>
      </c>
      <c r="P30" s="1" t="s">
        <v>11</v>
      </c>
      <c r="Q30" s="1">
        <v>0</v>
      </c>
      <c r="R30" s="1" t="s">
        <v>11</v>
      </c>
      <c r="S30" s="1">
        <v>0</v>
      </c>
    </row>
    <row r="31" spans="1:20" ht="15.75" customHeight="1" x14ac:dyDescent="0.2">
      <c r="A31" s="1" t="s">
        <v>14</v>
      </c>
    </row>
    <row r="32" spans="1:20" ht="15.75" customHeight="1" x14ac:dyDescent="0.2">
      <c r="A32" s="1">
        <v>15</v>
      </c>
      <c r="B32" s="1" t="s">
        <v>15</v>
      </c>
      <c r="C32" s="1">
        <v>1354</v>
      </c>
      <c r="D32" s="1" t="s">
        <v>16</v>
      </c>
      <c r="E32" s="1">
        <v>200.2099</v>
      </c>
      <c r="F32" s="1" t="s">
        <v>16</v>
      </c>
      <c r="G32" s="1">
        <v>770.03560000000004</v>
      </c>
      <c r="H32" s="1" t="s">
        <v>16</v>
      </c>
      <c r="I32" s="1">
        <v>293.95429999999999</v>
      </c>
      <c r="J32" s="1" t="s">
        <v>16</v>
      </c>
      <c r="K32" s="1">
        <v>153.17490000000001</v>
      </c>
      <c r="L32" s="1" t="s">
        <v>17</v>
      </c>
      <c r="M32" s="1">
        <v>7308</v>
      </c>
      <c r="N32" s="1" t="s">
        <v>16</v>
      </c>
      <c r="O32" s="1">
        <v>4740</v>
      </c>
      <c r="P32" s="1" t="s">
        <v>16</v>
      </c>
      <c r="Q32" s="1">
        <v>0</v>
      </c>
      <c r="R32" s="1" t="s">
        <v>16</v>
      </c>
      <c r="S32" s="1">
        <v>0</v>
      </c>
    </row>
    <row r="33" spans="1:20" ht="15.75" customHeight="1" x14ac:dyDescent="0.2">
      <c r="A33" s="1" t="s">
        <v>18</v>
      </c>
    </row>
    <row r="34" spans="1:20" ht="15.75" customHeight="1" x14ac:dyDescent="0.2">
      <c r="A34" s="1">
        <f>(C34+E34+G34+I34+K34+M34+O34+Q34)/1000000+S34</f>
        <v>1.2611110540999999</v>
      </c>
      <c r="B34" s="1" t="s">
        <v>19</v>
      </c>
      <c r="C34" s="1">
        <v>200.51750000000001</v>
      </c>
      <c r="D34" s="1" t="s">
        <v>20</v>
      </c>
      <c r="E34" s="1">
        <v>22.1709</v>
      </c>
      <c r="F34" s="1" t="s">
        <v>20</v>
      </c>
      <c r="G34" s="1">
        <v>1013.9043</v>
      </c>
      <c r="H34" s="1" t="s">
        <v>20</v>
      </c>
      <c r="I34" s="1">
        <v>410.17250000000001</v>
      </c>
      <c r="J34" s="1" t="s">
        <v>20</v>
      </c>
      <c r="K34" s="1">
        <v>0.15939999999999999</v>
      </c>
      <c r="L34" s="1" t="s">
        <v>20</v>
      </c>
      <c r="M34" s="1">
        <v>2154.7492999999999</v>
      </c>
      <c r="N34" s="1" t="s">
        <v>20</v>
      </c>
      <c r="O34" s="1">
        <v>1309.3802000000001</v>
      </c>
      <c r="P34" s="1" t="s">
        <v>20</v>
      </c>
      <c r="Q34" s="1">
        <v>0</v>
      </c>
      <c r="R34" s="1" t="s">
        <v>20</v>
      </c>
      <c r="S34" s="1">
        <v>1.256</v>
      </c>
      <c r="T34" s="1" t="s">
        <v>19</v>
      </c>
    </row>
    <row r="35" spans="1:20" ht="15.75" customHeight="1" x14ac:dyDescent="0.2"/>
    <row r="36" spans="1:20" ht="15.75" customHeight="1" x14ac:dyDescent="0.2"/>
    <row r="37" spans="1:20" ht="15.75" customHeight="1" x14ac:dyDescent="0.2"/>
    <row r="38" spans="1:20" ht="15.75" customHeight="1" x14ac:dyDescent="0.2"/>
    <row r="39" spans="1:20" ht="15.75" customHeight="1" x14ac:dyDescent="0.2"/>
    <row r="40" spans="1:20" ht="15.75" customHeight="1" x14ac:dyDescent="0.2"/>
    <row r="41" spans="1:20" ht="15.75" customHeight="1" x14ac:dyDescent="0.2"/>
    <row r="42" spans="1:20" ht="15.75" customHeight="1" x14ac:dyDescent="0.2"/>
    <row r="43" spans="1:20" ht="15.75" customHeight="1" x14ac:dyDescent="0.2"/>
    <row r="44" spans="1:20" ht="15.75" customHeight="1" x14ac:dyDescent="0.2"/>
    <row r="45" spans="1:20" ht="15.75" customHeight="1" x14ac:dyDescent="0.2"/>
    <row r="46" spans="1:20" ht="15.75" customHeight="1" x14ac:dyDescent="0.2"/>
    <row r="47" spans="1:20" ht="15.75" customHeight="1" x14ac:dyDescent="0.2"/>
    <row r="48" spans="1:2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Microsoft Office User</cp:lastModifiedBy>
  <dcterms:created xsi:type="dcterms:W3CDTF">2025-05-31T06:05:50Z</dcterms:created>
  <dcterms:modified xsi:type="dcterms:W3CDTF">2025-06-21T00:36:34Z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D5B318654E484A46AB4D0D9403616BBE_11</vt:lpwstr>
  </property>
  <property fmtid="{D5CDD505-2E9C-101B-9397-08002B2CF9AE}" pid="3" name="KSOProductBuildVer">
    <vt:lpwstr>1033-12.2.0.21179</vt:lpwstr>
  </property>
</Properties>
</file>