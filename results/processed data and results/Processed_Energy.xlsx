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/>
  <mc:AlternateContent xmlns:mc="http://schemas.openxmlformats.org/markup-compatibility/2006">
    <mc:Choice Requires="x15">
      <x15ac:absPath xmlns:x15ac="http://schemas.microsoft.com/office/spreadsheetml/2010/11/ac" url="/Users/pengxiao/Downloads/"/>
    </mc:Choice>
  </mc:AlternateContent>
  <xr:revisionPtr revIDLastSave="0" documentId="13_ncr:1_{0542AEC2-3613-5441-83B5-82B6121345B9}" xr6:coauthVersionLast="47" xr6:coauthVersionMax="47" xr10:uidLastSave="{00000000-0000-0000-0000-000000000000}"/>
  <bookViews>
    <workbookView xWindow="31680" yWindow="3920" windowWidth="28800" windowHeight="16040" xr2:uid="{00000000-000D-0000-FFFF-FFFF00000000}"/>
  </bookViews>
  <sheets>
    <sheet name="Sheet2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HZ/mRYCjUiAWuoI2rvLOeb2r0yR9ZQ2HL+XmSlYBnL4="/>
    </ext>
  </extLst>
</workbook>
</file>

<file path=xl/calcChain.xml><?xml version="1.0" encoding="utf-8"?>
<calcChain xmlns="http://schemas.openxmlformats.org/spreadsheetml/2006/main">
  <c r="E28" i="1" l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</calcChain>
</file>

<file path=xl/sharedStrings.xml><?xml version="1.0" encoding="utf-8"?>
<sst xmlns="http://schemas.openxmlformats.org/spreadsheetml/2006/main" count="852" uniqueCount="78">
  <si>
    <t>Year</t>
  </si>
  <si>
    <t>U.S. No 2 Diesel Retail Prices Dollars per Gallon</t>
  </si>
  <si>
    <t>electricity price cents  per kwh</t>
  </si>
  <si>
    <t>electricity price dollors  per kwh</t>
  </si>
  <si>
    <t>Fuel, lube, and electricity</t>
  </si>
  <si>
    <t>1kg cotton</t>
  </si>
  <si>
    <t xml:space="preserve">1kg poplar production </t>
  </si>
  <si>
    <t>1 kg willow production</t>
  </si>
  <si>
    <t>1kg PVDF</t>
  </si>
  <si>
    <t>1kg PUR rigid foam</t>
  </si>
  <si>
    <t>1kg cellulosic biomass</t>
  </si>
  <si>
    <t>Emissions</t>
  </si>
  <si>
    <t>Well to Use</t>
  </si>
  <si>
    <t>BC</t>
  </si>
  <si>
    <t>mg</t>
  </si>
  <si>
    <t>CO2 Total</t>
  </si>
  <si>
    <t>g</t>
  </si>
  <si>
    <t>kg</t>
  </si>
  <si>
    <t>CH4</t>
  </si>
  <si>
    <t>CO2</t>
  </si>
  <si>
    <t>CO</t>
  </si>
  <si>
    <t>CO2_Biogenic</t>
  </si>
  <si>
    <t>VOC</t>
  </si>
  <si>
    <t>NOx</t>
  </si>
  <si>
    <t>N2O</t>
  </si>
  <si>
    <t>PM10</t>
  </si>
  <si>
    <t>PM2.5</t>
  </si>
  <si>
    <t>SOx</t>
  </si>
  <si>
    <t>POC</t>
  </si>
  <si>
    <t>Groups</t>
  </si>
  <si>
    <t>GHG-100</t>
  </si>
  <si>
    <t>GHG-20</t>
  </si>
  <si>
    <t>Flow properties</t>
  </si>
  <si>
    <t>Biogenic carbon mass ratio</t>
  </si>
  <si>
    <t>%</t>
  </si>
  <si>
    <t>Resources</t>
  </si>
  <si>
    <t>...</t>
  </si>
  <si>
    <t>MJ</t>
  </si>
  <si>
    <t>Biomass</t>
  </si>
  <si>
    <t>kJ</t>
  </si>
  <si>
    <t>Water Total</t>
  </si>
  <si>
    <t>cm^3</t>
  </si>
  <si>
    <t>Coal Fuel</t>
  </si>
  <si>
    <t>Water_Mining</t>
  </si>
  <si>
    <t>Water_Reservoir Evaporation</t>
  </si>
  <si>
    <t>Fossil Fuel</t>
  </si>
  <si>
    <t>Water_Process</t>
  </si>
  <si>
    <t>Water_Cooling</t>
  </si>
  <si>
    <t>Natural Gas Fuel</t>
  </si>
  <si>
    <t>Non Fossil Fuel</t>
  </si>
  <si>
    <t>Nuclear</t>
  </si>
  <si>
    <t>Crude Oil</t>
  </si>
  <si>
    <t>Petroleum Fuel</t>
  </si>
  <si>
    <t>Natural Gas</t>
  </si>
  <si>
    <t>Renewable</t>
  </si>
  <si>
    <t>Coal Average</t>
  </si>
  <si>
    <t>J</t>
  </si>
  <si>
    <t>Water</t>
  </si>
  <si>
    <t>Forest Residue</t>
  </si>
  <si>
    <t>Corn Stover</t>
  </si>
  <si>
    <t>Pet Coke</t>
  </si>
  <si>
    <t>Bitumen</t>
  </si>
  <si>
    <t>Renewable, Other</t>
  </si>
  <si>
    <t>Hydroelectric Power</t>
  </si>
  <si>
    <t>Nuclear Energy</t>
  </si>
  <si>
    <t>GeoThermal Power</t>
  </si>
  <si>
    <t>Solar</t>
  </si>
  <si>
    <t>Wind Power</t>
  </si>
  <si>
    <t>Poplar</t>
  </si>
  <si>
    <t>Willow</t>
  </si>
  <si>
    <t>Trona</t>
  </si>
  <si>
    <t>ug</t>
  </si>
  <si>
    <t>Zirconium Ore</t>
  </si>
  <si>
    <t>Other Power (Without Hydro)</t>
  </si>
  <si>
    <t>Shale Oil (Bakken)</t>
  </si>
  <si>
    <t>Shale Oil (Eagle Ford)</t>
  </si>
  <si>
    <t>Urban Emissions</t>
  </si>
  <si>
    <t xml:space="preserve">state average tax on diesel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</si>
</sst>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4D4D4"/>
        <bgColor rgb="FFD4D4D4"/>
      </patternFill>
    </fill>
  </fills>
  <borders count="6">
    <border>
      <left/>
      <right/>
      <top/>
      <bottom/>
      <diagonal/>
    </border>
    <border>
      <left/>
      <right style="thin">
        <color rgb="FF7F7F7F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7F7F7F"/>
      </left>
      <right/>
      <top style="thin">
        <color rgb="FFD8D8D8"/>
      </top>
      <bottom style="thin">
        <color rgb="FFD8D8D8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/>
    </xf>
    <xf numFmtId="4" fontId="3" fillId="2" borderId="0" xfId="0" applyNumberFormat="1" applyFont="1" applyFill="1" applyAlignment="1">
      <alignment horizontal="right" wrapText="1"/>
    </xf>
    <xf numFmtId="164" fontId="3" fillId="2" borderId="0" xfId="0" applyNumberFormat="1" applyFont="1" applyFill="1" applyAlignment="1">
      <alignment horizontal="right" wrapText="1"/>
    </xf>
    <xf numFmtId="4" fontId="2" fillId="0" borderId="2" xfId="0" applyNumberFormat="1" applyFont="1" applyBorder="1"/>
    <xf numFmtId="4" fontId="3" fillId="2" borderId="3" xfId="0" applyNumberFormat="1" applyFont="1" applyFill="1" applyBorder="1" applyAlignment="1">
      <alignment horizontal="right" wrapText="1"/>
    </xf>
    <xf numFmtId="164" fontId="3" fillId="2" borderId="4" xfId="0" applyNumberFormat="1" applyFont="1" applyFill="1" applyBorder="1" applyAlignment="1">
      <alignment horizontal="right" wrapText="1"/>
    </xf>
    <xf numFmtId="4" fontId="2" fillId="0" borderId="5" xfId="0" applyNumberFormat="1" applyFont="1" applyBorder="1"/>
    <xf numFmtId="4" fontId="2" fillId="0" borderId="1" xfId="0" applyNumberFormat="1" applyFont="1" applyBorder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1"/>
  <sheetViews>
    <sheetView tabSelected="1" workbookViewId="0">
      <selection activeCell="C26" sqref="C26"/>
    </sheetView>
  </sheetViews>
  <sheetFormatPr baseColWidth="10" defaultColWidth="14.5" defaultRowHeight="15" customHeight="1" x14ac:dyDescent="0.2"/>
  <cols>
    <col min="1" max="1" width="10.6640625" customWidth="1"/>
    <col min="2" max="3" width="37.33203125" customWidth="1"/>
    <col min="4" max="5" width="27.83203125" customWidth="1"/>
    <col min="6" max="27" width="10.6640625" customWidth="1"/>
  </cols>
  <sheetData>
    <row r="1" spans="1:6" x14ac:dyDescent="0.2">
      <c r="A1" s="1" t="s">
        <v>0</v>
      </c>
      <c r="B1" s="1" t="s">
        <v>1</v>
      </c>
      <c r="C1" s="1" t="s">
        <v>77</v>
      </c>
      <c r="D1" s="1" t="s">
        <v>2</v>
      </c>
      <c r="E1" s="1" t="s">
        <v>3</v>
      </c>
      <c r="F1" s="2" t="s">
        <v>4</v>
      </c>
    </row>
    <row r="2" spans="1:6" x14ac:dyDescent="0.2">
      <c r="A2" s="1">
        <v>2023</v>
      </c>
      <c r="B2" s="1">
        <v>4.2140000000000004</v>
      </c>
      <c r="C2" s="1">
        <v>0.3347</v>
      </c>
      <c r="D2" s="3">
        <v>8.0399999999999991</v>
      </c>
      <c r="E2" s="4">
        <v>8.0399999999999999E-2</v>
      </c>
      <c r="F2" s="5">
        <v>48.1</v>
      </c>
    </row>
    <row r="3" spans="1:6" x14ac:dyDescent="0.2">
      <c r="A3" s="1">
        <v>2022</v>
      </c>
      <c r="B3" s="1">
        <v>4.9889999999999999</v>
      </c>
      <c r="C3" s="1">
        <v>0.32179999999999997</v>
      </c>
      <c r="D3" s="6">
        <v>8.32</v>
      </c>
      <c r="E3" s="7">
        <f t="shared" ref="E3:E28" si="0">D3/100</f>
        <v>8.3199999999999996E-2</v>
      </c>
      <c r="F3" s="8">
        <v>55.17</v>
      </c>
    </row>
    <row r="4" spans="1:6" x14ac:dyDescent="0.2">
      <c r="A4" s="1">
        <v>2021</v>
      </c>
      <c r="B4" s="1">
        <v>3.2869999999999999</v>
      </c>
      <c r="C4" s="1">
        <v>0.30890000000000001</v>
      </c>
      <c r="D4" s="6">
        <v>7.18</v>
      </c>
      <c r="E4" s="7">
        <f t="shared" si="0"/>
        <v>7.1800000000000003E-2</v>
      </c>
      <c r="F4" s="5">
        <v>38.5</v>
      </c>
    </row>
    <row r="5" spans="1:6" x14ac:dyDescent="0.2">
      <c r="A5" s="1">
        <v>2020</v>
      </c>
      <c r="B5" s="1">
        <v>2.5510000000000002</v>
      </c>
      <c r="C5" s="1">
        <v>0.28089999999999998</v>
      </c>
      <c r="D5" s="6">
        <v>6.67</v>
      </c>
      <c r="E5" s="7">
        <f t="shared" si="0"/>
        <v>6.6699999999999995E-2</v>
      </c>
      <c r="F5" s="5">
        <v>29.41</v>
      </c>
    </row>
    <row r="6" spans="1:6" x14ac:dyDescent="0.2">
      <c r="A6" s="1">
        <v>2019</v>
      </c>
      <c r="B6" s="1">
        <v>3.056</v>
      </c>
      <c r="C6" s="1">
        <v>0.27860000000000001</v>
      </c>
      <c r="D6" s="6">
        <v>6.81</v>
      </c>
      <c r="E6" s="7">
        <f t="shared" si="0"/>
        <v>6.8099999999999994E-2</v>
      </c>
      <c r="F6" s="9">
        <v>34.97</v>
      </c>
    </row>
    <row r="7" spans="1:6" x14ac:dyDescent="0.2">
      <c r="A7" s="1">
        <v>2018</v>
      </c>
      <c r="B7" s="1">
        <v>3.1779999999999999</v>
      </c>
      <c r="C7" s="1">
        <v>0.26540000000000002</v>
      </c>
      <c r="D7" s="6">
        <v>6.92</v>
      </c>
      <c r="E7" s="7">
        <f t="shared" si="0"/>
        <v>6.9199999999999998E-2</v>
      </c>
      <c r="F7" s="5">
        <v>44.62</v>
      </c>
    </row>
    <row r="8" spans="1:6" x14ac:dyDescent="0.2">
      <c r="A8" s="1">
        <v>2017</v>
      </c>
      <c r="B8" s="1">
        <v>2.65</v>
      </c>
      <c r="C8" s="1">
        <v>0.27600000000000002</v>
      </c>
      <c r="D8" s="6">
        <v>6.88</v>
      </c>
      <c r="E8" s="7">
        <f t="shared" si="0"/>
        <v>6.88E-2</v>
      </c>
      <c r="F8" s="5">
        <v>43.27</v>
      </c>
    </row>
    <row r="9" spans="1:6" x14ac:dyDescent="0.2">
      <c r="A9" s="1">
        <v>2016</v>
      </c>
      <c r="B9" s="1">
        <v>2.3039999999999998</v>
      </c>
      <c r="C9" s="1">
        <v>0.25059999999999999</v>
      </c>
      <c r="D9" s="6">
        <v>6.76</v>
      </c>
      <c r="E9" s="7">
        <f t="shared" si="0"/>
        <v>6.7599999999999993E-2</v>
      </c>
      <c r="F9" s="5">
        <v>38.18</v>
      </c>
    </row>
    <row r="10" spans="1:6" x14ac:dyDescent="0.2">
      <c r="A10" s="1">
        <v>2015</v>
      </c>
      <c r="B10" s="1">
        <v>2.7069999999999999</v>
      </c>
      <c r="C10" s="1">
        <v>0.25040000000000001</v>
      </c>
      <c r="D10" s="6">
        <v>6.91</v>
      </c>
      <c r="E10" s="7">
        <f t="shared" si="0"/>
        <v>6.9099999999999995E-2</v>
      </c>
      <c r="F10" s="9">
        <v>43.49</v>
      </c>
    </row>
    <row r="11" spans="1:6" x14ac:dyDescent="0.2">
      <c r="A11" s="1">
        <v>2014</v>
      </c>
      <c r="B11" s="1">
        <v>3.8250000000000002</v>
      </c>
      <c r="C11" s="1">
        <v>0.22559999999999999</v>
      </c>
      <c r="D11" s="6">
        <v>7.1</v>
      </c>
      <c r="E11" s="7">
        <f t="shared" si="0"/>
        <v>7.0999999999999994E-2</v>
      </c>
      <c r="F11" s="5">
        <v>64.010000000000005</v>
      </c>
    </row>
    <row r="12" spans="1:6" x14ac:dyDescent="0.2">
      <c r="A12" s="1">
        <v>2013</v>
      </c>
      <c r="B12" s="1">
        <v>3.9220000000000002</v>
      </c>
      <c r="C12" s="1">
        <v>0.219</v>
      </c>
      <c r="D12" s="6">
        <v>6.89</v>
      </c>
      <c r="E12" s="7">
        <f t="shared" si="0"/>
        <v>6.8900000000000003E-2</v>
      </c>
      <c r="F12" s="5">
        <v>63.97</v>
      </c>
    </row>
    <row r="13" spans="1:6" x14ac:dyDescent="0.2">
      <c r="A13" s="1">
        <v>2012</v>
      </c>
      <c r="B13" s="1">
        <v>3.968</v>
      </c>
      <c r="C13" s="1">
        <v>0.21629999999999999</v>
      </c>
      <c r="D13" s="6">
        <v>6.67</v>
      </c>
      <c r="E13" s="7">
        <f t="shared" si="0"/>
        <v>6.6699999999999995E-2</v>
      </c>
      <c r="F13" s="5">
        <v>64.5</v>
      </c>
    </row>
    <row r="14" spans="1:6" x14ac:dyDescent="0.2">
      <c r="A14" s="1">
        <v>2011</v>
      </c>
      <c r="B14" s="1">
        <v>3.84</v>
      </c>
      <c r="C14" s="1">
        <v>0.21379999999999999</v>
      </c>
      <c r="D14" s="6">
        <v>6.82</v>
      </c>
      <c r="E14" s="7">
        <f t="shared" si="0"/>
        <v>6.8199999999999997E-2</v>
      </c>
      <c r="F14" s="5">
        <v>62.95</v>
      </c>
    </row>
    <row r="15" spans="1:6" x14ac:dyDescent="0.2">
      <c r="A15" s="1">
        <v>2010</v>
      </c>
      <c r="B15" s="1">
        <v>2.992</v>
      </c>
      <c r="C15" s="1">
        <v>0.21820000000000001</v>
      </c>
      <c r="D15" s="6">
        <v>6.77</v>
      </c>
      <c r="E15" s="7">
        <f t="shared" si="0"/>
        <v>6.7699999999999996E-2</v>
      </c>
      <c r="F15" s="5">
        <v>51.74</v>
      </c>
    </row>
    <row r="16" spans="1:6" x14ac:dyDescent="0.2">
      <c r="A16" s="1">
        <v>2009</v>
      </c>
      <c r="B16" s="1">
        <v>2.4670000000000001</v>
      </c>
      <c r="C16" s="1">
        <v>0.20780000000000001</v>
      </c>
      <c r="D16" s="6">
        <v>6.83</v>
      </c>
      <c r="E16" s="7">
        <f t="shared" si="0"/>
        <v>6.83E-2</v>
      </c>
      <c r="F16" s="5">
        <v>40.770000000000003</v>
      </c>
    </row>
    <row r="17" spans="1:6" x14ac:dyDescent="0.2">
      <c r="A17" s="1">
        <v>2008</v>
      </c>
      <c r="B17" s="1">
        <v>3.8029999999999999</v>
      </c>
      <c r="C17" s="1">
        <v>0.20480000000000001</v>
      </c>
      <c r="D17" s="6">
        <v>6.96</v>
      </c>
      <c r="E17" s="7">
        <f t="shared" si="0"/>
        <v>6.9599999999999995E-2</v>
      </c>
      <c r="F17" s="5">
        <v>61.28</v>
      </c>
    </row>
    <row r="18" spans="1:6" x14ac:dyDescent="0.2">
      <c r="A18" s="1">
        <v>2007</v>
      </c>
      <c r="B18" s="1">
        <v>2.8849999999999998</v>
      </c>
      <c r="C18" s="1">
        <v>0.1925</v>
      </c>
      <c r="D18" s="6">
        <v>6.39</v>
      </c>
      <c r="E18" s="7">
        <f t="shared" si="0"/>
        <v>6.3899999999999998E-2</v>
      </c>
      <c r="F18" s="9">
        <v>48.86</v>
      </c>
    </row>
    <row r="19" spans="1:6" x14ac:dyDescent="0.2">
      <c r="A19" s="1">
        <v>2006</v>
      </c>
      <c r="B19" s="1">
        <v>2.7050000000000001</v>
      </c>
      <c r="C19" s="1">
        <v>0.20300000000000001</v>
      </c>
      <c r="D19" s="6">
        <v>6.16</v>
      </c>
      <c r="E19" s="7">
        <f t="shared" si="0"/>
        <v>6.1600000000000002E-2</v>
      </c>
      <c r="F19" s="5">
        <v>39</v>
      </c>
    </row>
    <row r="20" spans="1:6" x14ac:dyDescent="0.2">
      <c r="A20" s="1">
        <v>2005</v>
      </c>
      <c r="B20" s="1">
        <v>2.4020000000000001</v>
      </c>
      <c r="C20" s="1">
        <v>0.1925</v>
      </c>
      <c r="D20" s="6">
        <v>5.73</v>
      </c>
      <c r="E20" s="7">
        <f t="shared" si="0"/>
        <v>5.7300000000000004E-2</v>
      </c>
      <c r="F20" s="5">
        <v>37.99</v>
      </c>
    </row>
    <row r="21" spans="1:6" x14ac:dyDescent="0.2">
      <c r="A21" s="1">
        <v>2004</v>
      </c>
      <c r="B21" s="1">
        <v>1.81</v>
      </c>
      <c r="C21" s="1">
        <v>0.1913</v>
      </c>
      <c r="D21" s="6">
        <v>5.25</v>
      </c>
      <c r="E21" s="7">
        <f t="shared" si="0"/>
        <v>5.2499999999999998E-2</v>
      </c>
      <c r="F21" s="5">
        <v>28.63</v>
      </c>
    </row>
    <row r="22" spans="1:6" ht="15.75" customHeight="1" x14ac:dyDescent="0.2">
      <c r="A22" s="1">
        <v>2003</v>
      </c>
      <c r="B22" s="1">
        <v>1.5089999999999999</v>
      </c>
      <c r="C22" s="1">
        <v>0.19070000000000001</v>
      </c>
      <c r="D22" s="6">
        <v>5.1100000000000003</v>
      </c>
      <c r="E22" s="7">
        <f t="shared" si="0"/>
        <v>5.1100000000000007E-2</v>
      </c>
      <c r="F22" s="9">
        <v>24.39</v>
      </c>
    </row>
    <row r="23" spans="1:6" ht="15.75" customHeight="1" x14ac:dyDescent="0.2">
      <c r="A23" s="1">
        <v>2002</v>
      </c>
      <c r="B23" s="1">
        <v>1.319</v>
      </c>
      <c r="C23" s="1">
        <v>0.1913</v>
      </c>
      <c r="D23" s="6">
        <v>4.88</v>
      </c>
      <c r="E23" s="7">
        <f t="shared" si="0"/>
        <v>4.8799999999999996E-2</v>
      </c>
      <c r="F23" s="5">
        <v>31.37</v>
      </c>
    </row>
    <row r="24" spans="1:6" ht="15.75" customHeight="1" x14ac:dyDescent="0.2">
      <c r="A24" s="1">
        <v>2001</v>
      </c>
      <c r="B24" s="1">
        <v>1.401</v>
      </c>
      <c r="C24" s="1">
        <v>0.1908</v>
      </c>
      <c r="D24" s="6">
        <v>5.05</v>
      </c>
      <c r="E24" s="7">
        <f t="shared" si="0"/>
        <v>5.0499999999999996E-2</v>
      </c>
      <c r="F24" s="5">
        <v>36.49</v>
      </c>
    </row>
    <row r="25" spans="1:6" ht="15.75" customHeight="1" x14ac:dyDescent="0.2">
      <c r="A25" s="1">
        <v>2000</v>
      </c>
      <c r="B25" s="1">
        <v>1.4910000000000001</v>
      </c>
      <c r="C25" s="1">
        <v>0.19289999999999999</v>
      </c>
      <c r="D25" s="6">
        <v>4.6399999999999997</v>
      </c>
      <c r="E25" s="7">
        <f t="shared" si="0"/>
        <v>4.6399999999999997E-2</v>
      </c>
      <c r="F25" s="5">
        <v>36.97</v>
      </c>
    </row>
    <row r="26" spans="1:6" ht="15.75" customHeight="1" x14ac:dyDescent="0.2">
      <c r="A26" s="1">
        <v>1999</v>
      </c>
      <c r="B26" s="1">
        <v>1.121</v>
      </c>
      <c r="C26" s="1"/>
      <c r="D26" s="6">
        <v>4.43</v>
      </c>
      <c r="E26" s="7">
        <f t="shared" si="0"/>
        <v>4.4299999999999999E-2</v>
      </c>
      <c r="F26" s="5">
        <v>26.64</v>
      </c>
    </row>
    <row r="27" spans="1:6" ht="15.75" customHeight="1" x14ac:dyDescent="0.2">
      <c r="A27" s="1">
        <v>1998</v>
      </c>
      <c r="B27" s="1">
        <v>1.044</v>
      </c>
      <c r="C27" s="1"/>
      <c r="D27" s="6">
        <v>4.4800000000000004</v>
      </c>
      <c r="E27" s="7">
        <f t="shared" si="0"/>
        <v>4.4800000000000006E-2</v>
      </c>
      <c r="F27" s="5">
        <v>26.29</v>
      </c>
    </row>
    <row r="28" spans="1:6" ht="15.75" customHeight="1" x14ac:dyDescent="0.2">
      <c r="A28" s="1">
        <v>1997</v>
      </c>
      <c r="B28" s="1">
        <v>1.198</v>
      </c>
      <c r="C28" s="1"/>
      <c r="D28" s="6">
        <v>4.53</v>
      </c>
      <c r="E28" s="7">
        <f t="shared" si="0"/>
        <v>4.53E-2</v>
      </c>
      <c r="F28" s="5">
        <v>31.64</v>
      </c>
    </row>
    <row r="29" spans="1:6" ht="15.75" customHeight="1" x14ac:dyDescent="0.2"/>
    <row r="30" spans="1:6" ht="15.75" customHeight="1" x14ac:dyDescent="0.2"/>
    <row r="31" spans="1:6" ht="15.75" customHeight="1" x14ac:dyDescent="0.2"/>
    <row r="32" spans="1:6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R77"/>
  <sheetViews>
    <sheetView workbookViewId="0"/>
  </sheetViews>
  <sheetFormatPr baseColWidth="10" defaultColWidth="14.5" defaultRowHeight="15" customHeight="1" x14ac:dyDescent="0.2"/>
  <cols>
    <col min="4" max="4" width="23.33203125" customWidth="1"/>
    <col min="7" max="7" width="22.83203125" customWidth="1"/>
    <col min="16" max="16" width="22.5" customWidth="1"/>
  </cols>
  <sheetData>
    <row r="1" spans="1:18" x14ac:dyDescent="0.2">
      <c r="A1" s="1" t="s">
        <v>5</v>
      </c>
      <c r="D1" s="1" t="s">
        <v>6</v>
      </c>
      <c r="G1" s="1" t="s">
        <v>7</v>
      </c>
      <c r="J1" s="1" t="s">
        <v>8</v>
      </c>
      <c r="M1" s="1" t="s">
        <v>9</v>
      </c>
      <c r="P1" s="1" t="s">
        <v>10</v>
      </c>
    </row>
    <row r="2" spans="1:18" x14ac:dyDescent="0.2">
      <c r="A2" s="1" t="s">
        <v>11</v>
      </c>
      <c r="D2" s="1" t="s">
        <v>11</v>
      </c>
      <c r="G2" s="1" t="s">
        <v>11</v>
      </c>
      <c r="J2" s="1" t="s">
        <v>11</v>
      </c>
      <c r="M2" s="1" t="s">
        <v>11</v>
      </c>
      <c r="P2" s="1" t="s">
        <v>11</v>
      </c>
    </row>
    <row r="3" spans="1:18" x14ac:dyDescent="0.2">
      <c r="A3" s="1" t="s">
        <v>12</v>
      </c>
      <c r="D3" s="1" t="s">
        <v>12</v>
      </c>
      <c r="G3" s="1" t="s">
        <v>12</v>
      </c>
      <c r="J3" s="1" t="s">
        <v>12</v>
      </c>
      <c r="M3" s="1" t="s">
        <v>12</v>
      </c>
      <c r="P3" s="1" t="s">
        <v>12</v>
      </c>
    </row>
    <row r="4" spans="1:18" x14ac:dyDescent="0.2">
      <c r="A4" s="1" t="s">
        <v>11</v>
      </c>
      <c r="D4" s="1" t="s">
        <v>11</v>
      </c>
      <c r="G4" s="1" t="s">
        <v>11</v>
      </c>
      <c r="J4" s="1" t="s">
        <v>11</v>
      </c>
      <c r="M4" s="1" t="s">
        <v>11</v>
      </c>
      <c r="P4" s="1" t="s">
        <v>11</v>
      </c>
    </row>
    <row r="5" spans="1:18" x14ac:dyDescent="0.2">
      <c r="A5" s="1" t="s">
        <v>13</v>
      </c>
      <c r="B5" s="1">
        <v>43.393799999999999</v>
      </c>
      <c r="C5" s="1" t="s">
        <v>14</v>
      </c>
      <c r="D5" s="1" t="s">
        <v>15</v>
      </c>
      <c r="E5" s="1">
        <v>55.000500000000002</v>
      </c>
      <c r="F5" s="1" t="s">
        <v>16</v>
      </c>
      <c r="G5" s="1" t="s">
        <v>15</v>
      </c>
      <c r="H5" s="1">
        <v>38.171399999999998</v>
      </c>
      <c r="I5" s="1" t="s">
        <v>16</v>
      </c>
      <c r="J5" s="1" t="s">
        <v>15</v>
      </c>
      <c r="K5" s="1">
        <v>2.0459999999999998</v>
      </c>
      <c r="L5" s="1" t="s">
        <v>17</v>
      </c>
      <c r="M5" s="1" t="s">
        <v>15</v>
      </c>
      <c r="N5" s="1">
        <v>2.6065</v>
      </c>
      <c r="O5" s="1" t="s">
        <v>17</v>
      </c>
      <c r="P5" s="1" t="s">
        <v>15</v>
      </c>
      <c r="Q5" s="1">
        <v>56.604999999999997</v>
      </c>
      <c r="R5" s="1" t="s">
        <v>16</v>
      </c>
    </row>
    <row r="6" spans="1:18" x14ac:dyDescent="0.2">
      <c r="A6" s="1" t="s">
        <v>18</v>
      </c>
      <c r="B6" s="1">
        <v>2.4771000000000001</v>
      </c>
      <c r="C6" s="1" t="s">
        <v>16</v>
      </c>
      <c r="D6" s="1" t="s">
        <v>19</v>
      </c>
      <c r="E6" s="1">
        <v>55.022500000000001</v>
      </c>
      <c r="F6" s="1" t="s">
        <v>16</v>
      </c>
      <c r="G6" s="1" t="s">
        <v>19</v>
      </c>
      <c r="H6" s="1">
        <v>38.187600000000003</v>
      </c>
      <c r="I6" s="1" t="s">
        <v>16</v>
      </c>
      <c r="J6" s="1" t="s">
        <v>19</v>
      </c>
      <c r="K6" s="1">
        <v>2.0575999999999999</v>
      </c>
      <c r="L6" s="1" t="s">
        <v>17</v>
      </c>
      <c r="M6" s="1" t="s">
        <v>19</v>
      </c>
      <c r="N6" s="1">
        <v>2.6126</v>
      </c>
      <c r="O6" s="1" t="s">
        <v>17</v>
      </c>
      <c r="P6" s="1" t="s">
        <v>19</v>
      </c>
      <c r="Q6" s="1">
        <v>56.6648</v>
      </c>
      <c r="R6" s="1" t="s">
        <v>16</v>
      </c>
    </row>
    <row r="7" spans="1:18" x14ac:dyDescent="0.2">
      <c r="A7" s="1" t="s">
        <v>20</v>
      </c>
      <c r="B7" s="1">
        <v>2.1758999999999999</v>
      </c>
      <c r="C7" s="1" t="s">
        <v>16</v>
      </c>
      <c r="D7" s="1" t="s">
        <v>21</v>
      </c>
      <c r="E7" s="10">
        <v>-2.1994E-5</v>
      </c>
      <c r="F7" s="1" t="s">
        <v>17</v>
      </c>
      <c r="G7" s="1" t="s">
        <v>21</v>
      </c>
      <c r="H7" s="10">
        <v>-1.6175E-5</v>
      </c>
      <c r="I7" s="1" t="s">
        <v>17</v>
      </c>
      <c r="J7" s="1" t="s">
        <v>21</v>
      </c>
      <c r="K7" s="1">
        <v>-1.1599999999999999E-2</v>
      </c>
      <c r="L7" s="1" t="s">
        <v>17</v>
      </c>
      <c r="M7" s="1" t="s">
        <v>21</v>
      </c>
      <c r="N7" s="1">
        <v>-6.1000000000000004E-3</v>
      </c>
      <c r="O7" s="1" t="s">
        <v>17</v>
      </c>
      <c r="P7" s="1" t="s">
        <v>21</v>
      </c>
      <c r="Q7" s="10">
        <v>-5.9789E-5</v>
      </c>
      <c r="R7" s="1" t="s">
        <v>17</v>
      </c>
    </row>
    <row r="8" spans="1:18" x14ac:dyDescent="0.2">
      <c r="A8" s="1" t="s">
        <v>15</v>
      </c>
      <c r="B8" s="1">
        <v>1.1712</v>
      </c>
      <c r="C8" s="1" t="s">
        <v>17</v>
      </c>
      <c r="D8" s="1" t="s">
        <v>22</v>
      </c>
      <c r="E8" s="1">
        <v>30.68</v>
      </c>
      <c r="F8" s="1" t="s">
        <v>14</v>
      </c>
      <c r="G8" s="1" t="s">
        <v>22</v>
      </c>
      <c r="H8" s="1">
        <v>21.6938</v>
      </c>
      <c r="I8" s="1" t="s">
        <v>14</v>
      </c>
      <c r="J8" s="1" t="s">
        <v>22</v>
      </c>
      <c r="K8" s="1">
        <v>0.31809999999999999</v>
      </c>
      <c r="L8" s="1" t="s">
        <v>16</v>
      </c>
      <c r="M8" s="1" t="s">
        <v>22</v>
      </c>
      <c r="N8" s="1">
        <v>1.1452</v>
      </c>
      <c r="O8" s="1" t="s">
        <v>16</v>
      </c>
      <c r="P8" s="1" t="s">
        <v>22</v>
      </c>
      <c r="Q8" s="1">
        <v>39.991799999999998</v>
      </c>
      <c r="R8" s="1" t="s">
        <v>14</v>
      </c>
    </row>
    <row r="9" spans="1:18" x14ac:dyDescent="0.2">
      <c r="A9" s="1" t="s">
        <v>19</v>
      </c>
      <c r="B9" s="1">
        <v>1.1751</v>
      </c>
      <c r="C9" s="1" t="s">
        <v>17</v>
      </c>
      <c r="D9" s="1" t="s">
        <v>20</v>
      </c>
      <c r="E9" s="1">
        <v>0.1326</v>
      </c>
      <c r="F9" s="1" t="s">
        <v>16</v>
      </c>
      <c r="G9" s="1" t="s">
        <v>20</v>
      </c>
      <c r="H9" s="1">
        <v>98.565700000000007</v>
      </c>
      <c r="I9" s="1" t="s">
        <v>14</v>
      </c>
      <c r="J9" s="1" t="s">
        <v>20</v>
      </c>
      <c r="K9" s="1">
        <v>1.2662</v>
      </c>
      <c r="L9" s="1" t="s">
        <v>16</v>
      </c>
      <c r="M9" s="1" t="s">
        <v>20</v>
      </c>
      <c r="N9" s="1">
        <v>7.9824000000000002</v>
      </c>
      <c r="O9" s="1" t="s">
        <v>16</v>
      </c>
      <c r="P9" s="1" t="s">
        <v>20</v>
      </c>
      <c r="Q9" s="1">
        <v>0.1132</v>
      </c>
      <c r="R9" s="1" t="s">
        <v>16</v>
      </c>
    </row>
    <row r="10" spans="1:18" x14ac:dyDescent="0.2">
      <c r="A10" s="1" t="s">
        <v>21</v>
      </c>
      <c r="B10" s="1">
        <v>-3.8999999999999998E-3</v>
      </c>
      <c r="C10" s="1" t="s">
        <v>17</v>
      </c>
      <c r="D10" s="1" t="s">
        <v>23</v>
      </c>
      <c r="E10" s="1">
        <v>0.19309999999999999</v>
      </c>
      <c r="F10" s="1" t="s">
        <v>16</v>
      </c>
      <c r="G10" s="1" t="s">
        <v>23</v>
      </c>
      <c r="H10" s="1">
        <v>0.14249999999999999</v>
      </c>
      <c r="I10" s="1" t="s">
        <v>16</v>
      </c>
      <c r="J10" s="1" t="s">
        <v>23</v>
      </c>
      <c r="K10" s="1">
        <v>1.9976</v>
      </c>
      <c r="L10" s="1" t="s">
        <v>16</v>
      </c>
      <c r="M10" s="1" t="s">
        <v>23</v>
      </c>
      <c r="N10" s="1">
        <v>4.0726000000000004</v>
      </c>
      <c r="O10" s="1" t="s">
        <v>16</v>
      </c>
      <c r="P10" s="1" t="s">
        <v>23</v>
      </c>
      <c r="Q10" s="1">
        <v>0.10489999999999999</v>
      </c>
      <c r="R10" s="1" t="s">
        <v>16</v>
      </c>
    </row>
    <row r="11" spans="1:18" x14ac:dyDescent="0.2">
      <c r="A11" s="1" t="s">
        <v>24</v>
      </c>
      <c r="B11" s="1">
        <v>0.1857</v>
      </c>
      <c r="C11" s="1" t="s">
        <v>16</v>
      </c>
      <c r="D11" s="1" t="s">
        <v>25</v>
      </c>
      <c r="E11" s="1">
        <v>13.854799999999999</v>
      </c>
      <c r="F11" s="1" t="s">
        <v>14</v>
      </c>
      <c r="G11" s="1" t="s">
        <v>25</v>
      </c>
      <c r="H11" s="1">
        <v>10.1569</v>
      </c>
      <c r="I11" s="1" t="s">
        <v>14</v>
      </c>
      <c r="J11" s="1" t="s">
        <v>25</v>
      </c>
      <c r="K11" s="1">
        <v>0.2</v>
      </c>
      <c r="L11" s="1" t="s">
        <v>16</v>
      </c>
      <c r="M11" s="1" t="s">
        <v>25</v>
      </c>
      <c r="N11" s="1">
        <v>0.41120000000000001</v>
      </c>
      <c r="O11" s="1" t="s">
        <v>16</v>
      </c>
      <c r="P11" s="1" t="s">
        <v>25</v>
      </c>
      <c r="Q11" s="1">
        <v>16.9542</v>
      </c>
      <c r="R11" s="1" t="s">
        <v>14</v>
      </c>
    </row>
    <row r="12" spans="1:18" x14ac:dyDescent="0.2">
      <c r="A12" s="1" t="s">
        <v>23</v>
      </c>
      <c r="B12" s="1">
        <v>1.8463000000000001</v>
      </c>
      <c r="C12" s="1" t="s">
        <v>16</v>
      </c>
      <c r="D12" s="1" t="s">
        <v>26</v>
      </c>
      <c r="E12" s="1">
        <v>12.0898</v>
      </c>
      <c r="F12" s="1" t="s">
        <v>14</v>
      </c>
      <c r="G12" s="1" t="s">
        <v>26</v>
      </c>
      <c r="H12" s="1">
        <v>8.6781000000000006</v>
      </c>
      <c r="I12" s="1" t="s">
        <v>14</v>
      </c>
      <c r="J12" s="1" t="s">
        <v>26</v>
      </c>
      <c r="K12" s="1">
        <v>0.13400000000000001</v>
      </c>
      <c r="L12" s="1" t="s">
        <v>16</v>
      </c>
      <c r="M12" s="1" t="s">
        <v>26</v>
      </c>
      <c r="N12" s="1">
        <v>0.22500000000000001</v>
      </c>
      <c r="O12" s="1" t="s">
        <v>16</v>
      </c>
      <c r="P12" s="1" t="s">
        <v>26</v>
      </c>
      <c r="Q12" s="1">
        <v>14.446999999999999</v>
      </c>
      <c r="R12" s="1" t="s">
        <v>14</v>
      </c>
    </row>
    <row r="13" spans="1:18" x14ac:dyDescent="0.2">
      <c r="A13" s="1" t="s">
        <v>25</v>
      </c>
      <c r="B13" s="1">
        <v>0.28199999999999997</v>
      </c>
      <c r="C13" s="1" t="s">
        <v>16</v>
      </c>
      <c r="D13" s="1" t="s">
        <v>27</v>
      </c>
      <c r="E13" s="1">
        <v>20.639700000000001</v>
      </c>
      <c r="F13" s="1" t="s">
        <v>14</v>
      </c>
      <c r="G13" s="1" t="s">
        <v>27</v>
      </c>
      <c r="H13" s="1">
        <v>17.987200000000001</v>
      </c>
      <c r="I13" s="1" t="s">
        <v>14</v>
      </c>
      <c r="J13" s="1" t="s">
        <v>27</v>
      </c>
      <c r="K13" s="1">
        <v>0.95820000000000005</v>
      </c>
      <c r="L13" s="1" t="s">
        <v>16</v>
      </c>
      <c r="M13" s="1" t="s">
        <v>27</v>
      </c>
      <c r="N13" s="1">
        <v>12.419499999999999</v>
      </c>
      <c r="O13" s="1" t="s">
        <v>16</v>
      </c>
      <c r="P13" s="1" t="s">
        <v>27</v>
      </c>
      <c r="Q13" s="1">
        <v>51.390500000000003</v>
      </c>
      <c r="R13" s="1" t="s">
        <v>14</v>
      </c>
    </row>
    <row r="14" spans="1:18" x14ac:dyDescent="0.2">
      <c r="A14" s="1" t="s">
        <v>26</v>
      </c>
      <c r="B14" s="1">
        <v>0.21210000000000001</v>
      </c>
      <c r="C14" s="1" t="s">
        <v>16</v>
      </c>
      <c r="D14" s="1" t="s">
        <v>18</v>
      </c>
      <c r="E14" s="1">
        <v>74.157399999999996</v>
      </c>
      <c r="F14" s="1" t="s">
        <v>14</v>
      </c>
      <c r="G14" s="1" t="s">
        <v>18</v>
      </c>
      <c r="H14" s="1">
        <v>56.661299999999997</v>
      </c>
      <c r="I14" s="1" t="s">
        <v>14</v>
      </c>
      <c r="J14" s="1" t="s">
        <v>18</v>
      </c>
      <c r="K14" s="1">
        <v>5.1779999999999999</v>
      </c>
      <c r="L14" s="1" t="s">
        <v>16</v>
      </c>
      <c r="M14" s="1" t="s">
        <v>18</v>
      </c>
      <c r="N14" s="1">
        <v>17.1965</v>
      </c>
      <c r="O14" s="1" t="s">
        <v>16</v>
      </c>
      <c r="P14" s="1" t="s">
        <v>18</v>
      </c>
      <c r="Q14" s="1">
        <v>98.239699999999999</v>
      </c>
      <c r="R14" s="1" t="s">
        <v>14</v>
      </c>
    </row>
    <row r="15" spans="1:18" x14ac:dyDescent="0.2">
      <c r="A15" s="1" t="s">
        <v>28</v>
      </c>
      <c r="B15" s="1">
        <v>36.723100000000002</v>
      </c>
      <c r="C15" s="1" t="s">
        <v>14</v>
      </c>
      <c r="D15" s="1" t="s">
        <v>24</v>
      </c>
      <c r="E15" s="1">
        <v>51.903399999999998</v>
      </c>
      <c r="F15" s="1" t="s">
        <v>14</v>
      </c>
      <c r="G15" s="1" t="s">
        <v>24</v>
      </c>
      <c r="H15" s="1">
        <v>38.500500000000002</v>
      </c>
      <c r="I15" s="1" t="s">
        <v>14</v>
      </c>
      <c r="J15" s="1" t="s">
        <v>24</v>
      </c>
      <c r="K15" s="1">
        <v>52.033000000000001</v>
      </c>
      <c r="L15" s="1" t="s">
        <v>14</v>
      </c>
      <c r="M15" s="1" t="s">
        <v>24</v>
      </c>
      <c r="N15" s="1">
        <v>80.4512</v>
      </c>
      <c r="O15" s="1" t="s">
        <v>14</v>
      </c>
      <c r="P15" s="1" t="s">
        <v>24</v>
      </c>
      <c r="Q15" s="10">
        <v>-7.9285999999999999E-5</v>
      </c>
      <c r="R15" s="1" t="s">
        <v>17</v>
      </c>
    </row>
    <row r="16" spans="1:18" x14ac:dyDescent="0.2">
      <c r="A16" s="1" t="s">
        <v>27</v>
      </c>
      <c r="B16" s="1">
        <v>1.2982</v>
      </c>
      <c r="C16" s="1" t="s">
        <v>16</v>
      </c>
      <c r="D16" s="1" t="s">
        <v>13</v>
      </c>
      <c r="E16" s="1">
        <v>6.7709000000000001</v>
      </c>
      <c r="F16" s="1" t="s">
        <v>14</v>
      </c>
      <c r="G16" s="1" t="s">
        <v>13</v>
      </c>
      <c r="H16" s="1">
        <v>4.6849999999999996</v>
      </c>
      <c r="I16" s="1" t="s">
        <v>14</v>
      </c>
      <c r="J16" s="1" t="s">
        <v>13</v>
      </c>
      <c r="K16" s="1">
        <v>13.305</v>
      </c>
      <c r="L16" s="1" t="s">
        <v>14</v>
      </c>
      <c r="M16" s="1" t="s">
        <v>13</v>
      </c>
      <c r="N16" s="1">
        <v>33.481499999999997</v>
      </c>
      <c r="O16" s="1" t="s">
        <v>14</v>
      </c>
      <c r="P16" s="1" t="s">
        <v>13</v>
      </c>
      <c r="Q16" s="1">
        <v>6.1925999999999997</v>
      </c>
      <c r="R16" s="1" t="s">
        <v>14</v>
      </c>
    </row>
    <row r="17" spans="1:18" x14ac:dyDescent="0.2">
      <c r="A17" s="1" t="s">
        <v>22</v>
      </c>
      <c r="B17" s="1">
        <v>0.78180000000000005</v>
      </c>
      <c r="C17" s="1" t="s">
        <v>16</v>
      </c>
      <c r="D17" s="1" t="s">
        <v>28</v>
      </c>
      <c r="E17" s="1">
        <v>2.3567999999999998</v>
      </c>
      <c r="F17" s="1" t="s">
        <v>14</v>
      </c>
      <c r="G17" s="1" t="s">
        <v>28</v>
      </c>
      <c r="H17" s="1">
        <v>1.6679999999999999</v>
      </c>
      <c r="I17" s="1" t="s">
        <v>14</v>
      </c>
      <c r="J17" s="1" t="s">
        <v>28</v>
      </c>
      <c r="K17" s="1">
        <v>41.774799999999999</v>
      </c>
      <c r="L17" s="1" t="s">
        <v>14</v>
      </c>
      <c r="M17" s="1" t="s">
        <v>28</v>
      </c>
      <c r="N17" s="1">
        <v>55.432000000000002</v>
      </c>
      <c r="O17" s="1" t="s">
        <v>14</v>
      </c>
      <c r="P17" s="1" t="s">
        <v>28</v>
      </c>
      <c r="Q17" s="1">
        <v>2.7839999999999998</v>
      </c>
      <c r="R17" s="1" t="s">
        <v>14</v>
      </c>
    </row>
    <row r="18" spans="1:18" x14ac:dyDescent="0.2">
      <c r="A18" s="1" t="s">
        <v>29</v>
      </c>
      <c r="D18" s="1" t="s">
        <v>29</v>
      </c>
      <c r="G18" s="1" t="s">
        <v>29</v>
      </c>
      <c r="J18" s="1" t="s">
        <v>29</v>
      </c>
      <c r="M18" s="1" t="s">
        <v>29</v>
      </c>
      <c r="P18" s="1" t="s">
        <v>29</v>
      </c>
    </row>
    <row r="19" spans="1:18" x14ac:dyDescent="0.2">
      <c r="A19" s="1" t="s">
        <v>30</v>
      </c>
      <c r="B19" s="1">
        <v>1.3016000000000001</v>
      </c>
      <c r="C19" s="1" t="s">
        <v>17</v>
      </c>
      <c r="D19" s="1" t="s">
        <v>30</v>
      </c>
      <c r="E19" s="1">
        <v>71.683999999999997</v>
      </c>
      <c r="F19" s="1" t="s">
        <v>16</v>
      </c>
      <c r="G19" s="1" t="s">
        <v>30</v>
      </c>
      <c r="H19" s="1">
        <v>50.5931</v>
      </c>
      <c r="I19" s="1" t="s">
        <v>16</v>
      </c>
      <c r="J19" s="1" t="s">
        <v>30</v>
      </c>
      <c r="K19" s="1">
        <v>2.2174999999999998</v>
      </c>
      <c r="L19" s="1" t="s">
        <v>17</v>
      </c>
      <c r="M19" s="1" t="s">
        <v>30</v>
      </c>
      <c r="N19" s="1">
        <v>3.157</v>
      </c>
      <c r="O19" s="1" t="s">
        <v>17</v>
      </c>
      <c r="P19" s="1" t="s">
        <v>30</v>
      </c>
      <c r="Q19" s="1">
        <v>38.190100000000001</v>
      </c>
      <c r="R19" s="1" t="s">
        <v>16</v>
      </c>
    </row>
    <row r="20" spans="1:18" x14ac:dyDescent="0.2">
      <c r="A20" s="1" t="s">
        <v>31</v>
      </c>
      <c r="B20" s="1">
        <v>1.4320999999999999</v>
      </c>
      <c r="C20" s="1" t="s">
        <v>17</v>
      </c>
      <c r="D20" s="1" t="s">
        <v>31</v>
      </c>
      <c r="E20" s="1">
        <v>75.592100000000002</v>
      </c>
      <c r="F20" s="1" t="s">
        <v>16</v>
      </c>
      <c r="G20" s="1" t="s">
        <v>31</v>
      </c>
      <c r="H20" s="1">
        <v>53.579099999999997</v>
      </c>
      <c r="I20" s="1" t="s">
        <v>16</v>
      </c>
      <c r="J20" s="1" t="s">
        <v>31</v>
      </c>
      <c r="K20" s="1">
        <v>2.4904000000000002</v>
      </c>
      <c r="L20" s="1" t="s">
        <v>17</v>
      </c>
      <c r="M20" s="1" t="s">
        <v>31</v>
      </c>
      <c r="N20" s="1">
        <v>4.0632999999999999</v>
      </c>
      <c r="O20" s="1" t="s">
        <v>17</v>
      </c>
      <c r="P20" s="1" t="s">
        <v>31</v>
      </c>
      <c r="Q20" s="1">
        <v>43.3673</v>
      </c>
      <c r="R20" s="1" t="s">
        <v>16</v>
      </c>
    </row>
    <row r="21" spans="1:18" x14ac:dyDescent="0.2">
      <c r="A21" s="1" t="s">
        <v>32</v>
      </c>
      <c r="D21" s="1" t="s">
        <v>32</v>
      </c>
      <c r="G21" s="1" t="s">
        <v>32</v>
      </c>
      <c r="J21" s="1" t="s">
        <v>32</v>
      </c>
      <c r="M21" s="1" t="s">
        <v>32</v>
      </c>
      <c r="P21" s="1" t="s">
        <v>32</v>
      </c>
    </row>
    <row r="22" spans="1:18" x14ac:dyDescent="0.2">
      <c r="A22" s="1" t="s">
        <v>33</v>
      </c>
      <c r="B22" s="1">
        <v>0</v>
      </c>
      <c r="C22" s="1" t="s">
        <v>34</v>
      </c>
      <c r="D22" s="1" t="s">
        <v>33</v>
      </c>
      <c r="E22" s="1">
        <v>100</v>
      </c>
      <c r="F22" s="1" t="s">
        <v>34</v>
      </c>
      <c r="G22" s="1" t="s">
        <v>33</v>
      </c>
      <c r="H22" s="1">
        <v>100</v>
      </c>
      <c r="I22" s="1" t="s">
        <v>34</v>
      </c>
      <c r="J22" s="1" t="s">
        <v>33</v>
      </c>
      <c r="K22" s="1">
        <v>0</v>
      </c>
      <c r="L22" s="1" t="s">
        <v>34</v>
      </c>
      <c r="M22" s="1" t="s">
        <v>33</v>
      </c>
      <c r="N22" s="1">
        <v>0</v>
      </c>
      <c r="O22" s="1" t="s">
        <v>34</v>
      </c>
      <c r="P22" s="1" t="s">
        <v>33</v>
      </c>
      <c r="Q22" s="1">
        <v>100</v>
      </c>
      <c r="R22" s="1" t="s">
        <v>34</v>
      </c>
    </row>
    <row r="23" spans="1:18" x14ac:dyDescent="0.2">
      <c r="A23" s="1" t="s">
        <v>35</v>
      </c>
      <c r="D23" s="1" t="s">
        <v>35</v>
      </c>
      <c r="G23" s="1" t="s">
        <v>35</v>
      </c>
      <c r="J23" s="1" t="s">
        <v>35</v>
      </c>
      <c r="M23" s="1" t="s">
        <v>35</v>
      </c>
      <c r="P23" s="1" t="s">
        <v>35</v>
      </c>
    </row>
    <row r="24" spans="1:18" x14ac:dyDescent="0.2">
      <c r="A24" s="1" t="s">
        <v>12</v>
      </c>
      <c r="D24" s="1" t="s">
        <v>12</v>
      </c>
      <c r="G24" s="1" t="s">
        <v>12</v>
      </c>
      <c r="J24" s="1" t="s">
        <v>12</v>
      </c>
      <c r="M24" s="1" t="s">
        <v>12</v>
      </c>
      <c r="P24" s="1" t="s">
        <v>12</v>
      </c>
    </row>
    <row r="25" spans="1:18" x14ac:dyDescent="0.2">
      <c r="A25" s="1" t="s">
        <v>29</v>
      </c>
      <c r="B25" s="1" t="s">
        <v>36</v>
      </c>
      <c r="D25" s="1" t="s">
        <v>35</v>
      </c>
      <c r="E25" s="1">
        <v>19</v>
      </c>
      <c r="F25" s="1" t="s">
        <v>37</v>
      </c>
      <c r="G25" s="1" t="s">
        <v>35</v>
      </c>
      <c r="H25" s="1">
        <v>18</v>
      </c>
      <c r="I25" s="1" t="s">
        <v>37</v>
      </c>
      <c r="J25" s="1" t="s">
        <v>35</v>
      </c>
      <c r="K25" s="1">
        <v>36</v>
      </c>
      <c r="L25" s="1" t="s">
        <v>37</v>
      </c>
      <c r="M25" s="1" t="s">
        <v>35</v>
      </c>
      <c r="N25" s="1">
        <v>71</v>
      </c>
      <c r="O25" s="1" t="s">
        <v>37</v>
      </c>
      <c r="P25" s="1" t="s">
        <v>35</v>
      </c>
      <c r="Q25" s="1">
        <v>18</v>
      </c>
      <c r="R25" s="1" t="s">
        <v>37</v>
      </c>
    </row>
    <row r="26" spans="1:18" x14ac:dyDescent="0.2">
      <c r="A26" s="1" t="s">
        <v>38</v>
      </c>
      <c r="B26" s="1">
        <v>42.268700000000003</v>
      </c>
      <c r="C26" s="1" t="s">
        <v>39</v>
      </c>
      <c r="D26" s="1" t="s">
        <v>40</v>
      </c>
      <c r="E26" s="1">
        <v>102.1589</v>
      </c>
      <c r="F26" s="1" t="s">
        <v>41</v>
      </c>
      <c r="G26" s="1" t="s">
        <v>40</v>
      </c>
      <c r="H26" s="1">
        <v>83.955100000000002</v>
      </c>
      <c r="I26" s="1" t="s">
        <v>41</v>
      </c>
      <c r="J26" s="1" t="s">
        <v>40</v>
      </c>
      <c r="K26" s="1">
        <v>6084.5289000000002</v>
      </c>
      <c r="L26" s="1" t="s">
        <v>41</v>
      </c>
      <c r="M26" s="1" t="s">
        <v>40</v>
      </c>
      <c r="N26" s="1">
        <v>4758.1755000000003</v>
      </c>
      <c r="O26" s="1" t="s">
        <v>41</v>
      </c>
      <c r="P26" s="1" t="s">
        <v>40</v>
      </c>
      <c r="Q26" s="1">
        <v>230.74520000000001</v>
      </c>
      <c r="R26" s="1" t="s">
        <v>41</v>
      </c>
    </row>
    <row r="27" spans="1:18" x14ac:dyDescent="0.2">
      <c r="A27" s="1" t="s">
        <v>42</v>
      </c>
      <c r="B27" s="1">
        <v>5203</v>
      </c>
      <c r="C27" s="1" t="s">
        <v>39</v>
      </c>
      <c r="D27" s="1" t="s">
        <v>43</v>
      </c>
      <c r="E27" s="1">
        <v>61.3827</v>
      </c>
      <c r="F27" s="1" t="s">
        <v>41</v>
      </c>
      <c r="G27" s="1" t="s">
        <v>43</v>
      </c>
      <c r="H27" s="1">
        <v>51.7209</v>
      </c>
      <c r="I27" s="1" t="s">
        <v>41</v>
      </c>
      <c r="J27" s="1" t="s">
        <v>44</v>
      </c>
      <c r="K27" s="1">
        <v>3156.1502999999998</v>
      </c>
      <c r="L27" s="1" t="s">
        <v>41</v>
      </c>
      <c r="M27" s="1" t="s">
        <v>44</v>
      </c>
      <c r="N27" s="1">
        <v>1662.1793</v>
      </c>
      <c r="O27" s="1" t="s">
        <v>41</v>
      </c>
      <c r="P27" s="1" t="s">
        <v>43</v>
      </c>
      <c r="Q27" s="1">
        <v>143.2319</v>
      </c>
      <c r="R27" s="1" t="s">
        <v>41</v>
      </c>
    </row>
    <row r="28" spans="1:18" x14ac:dyDescent="0.2">
      <c r="A28" s="1" t="s">
        <v>45</v>
      </c>
      <c r="B28" s="1">
        <v>17</v>
      </c>
      <c r="C28" s="1" t="s">
        <v>37</v>
      </c>
      <c r="D28" s="1" t="s">
        <v>46</v>
      </c>
      <c r="E28" s="1">
        <v>30.207100000000001</v>
      </c>
      <c r="F28" s="1" t="s">
        <v>41</v>
      </c>
      <c r="G28" s="1" t="s">
        <v>46</v>
      </c>
      <c r="H28" s="1">
        <v>24.464700000000001</v>
      </c>
      <c r="I28" s="1" t="s">
        <v>41</v>
      </c>
      <c r="J28" s="1" t="s">
        <v>47</v>
      </c>
      <c r="K28" s="1">
        <v>2446.6351</v>
      </c>
      <c r="L28" s="1" t="s">
        <v>41</v>
      </c>
      <c r="M28" s="1" t="s">
        <v>43</v>
      </c>
      <c r="N28" s="1">
        <v>1487.1881000000001</v>
      </c>
      <c r="O28" s="1" t="s">
        <v>41</v>
      </c>
      <c r="P28" s="1" t="s">
        <v>46</v>
      </c>
      <c r="Q28" s="1">
        <v>58.655299999999997</v>
      </c>
      <c r="R28" s="1" t="s">
        <v>41</v>
      </c>
    </row>
    <row r="29" spans="1:18" x14ac:dyDescent="0.2">
      <c r="A29" s="1" t="s">
        <v>48</v>
      </c>
      <c r="B29" s="1">
        <v>8688</v>
      </c>
      <c r="C29" s="1" t="s">
        <v>39</v>
      </c>
      <c r="D29" s="1" t="s">
        <v>44</v>
      </c>
      <c r="E29" s="1">
        <v>5.9459999999999997</v>
      </c>
      <c r="F29" s="1" t="s">
        <v>41</v>
      </c>
      <c r="G29" s="1" t="s">
        <v>44</v>
      </c>
      <c r="H29" s="1">
        <v>4.3705999999999996</v>
      </c>
      <c r="I29" s="1" t="s">
        <v>41</v>
      </c>
      <c r="J29" s="1" t="s">
        <v>43</v>
      </c>
      <c r="K29" s="1">
        <v>312.98250000000002</v>
      </c>
      <c r="L29" s="1" t="s">
        <v>41</v>
      </c>
      <c r="M29" s="1" t="s">
        <v>47</v>
      </c>
      <c r="N29" s="1">
        <v>1289.0536</v>
      </c>
      <c r="O29" s="1" t="s">
        <v>41</v>
      </c>
      <c r="P29" s="1" t="s">
        <v>44</v>
      </c>
      <c r="Q29" s="1">
        <v>16.248899999999999</v>
      </c>
      <c r="R29" s="1" t="s">
        <v>41</v>
      </c>
    </row>
    <row r="30" spans="1:18" x14ac:dyDescent="0.2">
      <c r="A30" s="1" t="s">
        <v>49</v>
      </c>
      <c r="B30" s="1">
        <v>796.07950000000005</v>
      </c>
      <c r="C30" s="1" t="s">
        <v>39</v>
      </c>
      <c r="D30" s="1" t="s">
        <v>47</v>
      </c>
      <c r="E30" s="1">
        <v>4.6231999999999998</v>
      </c>
      <c r="F30" s="1" t="s">
        <v>41</v>
      </c>
      <c r="G30" s="1" t="s">
        <v>47</v>
      </c>
      <c r="H30" s="1">
        <v>3.3988999999999998</v>
      </c>
      <c r="I30" s="1" t="s">
        <v>41</v>
      </c>
      <c r="J30" s="1" t="s">
        <v>46</v>
      </c>
      <c r="K30" s="1">
        <v>168.76089999999999</v>
      </c>
      <c r="L30" s="1" t="s">
        <v>41</v>
      </c>
      <c r="M30" s="1" t="s">
        <v>46</v>
      </c>
      <c r="N30" s="1">
        <v>319.75459999999998</v>
      </c>
      <c r="O30" s="1" t="s">
        <v>41</v>
      </c>
      <c r="P30" s="1" t="s">
        <v>47</v>
      </c>
      <c r="Q30" s="1">
        <v>12.6091</v>
      </c>
      <c r="R30" s="1" t="s">
        <v>41</v>
      </c>
    </row>
    <row r="31" spans="1:18" x14ac:dyDescent="0.2">
      <c r="A31" s="1" t="s">
        <v>50</v>
      </c>
      <c r="B31" s="1">
        <v>472.61200000000002</v>
      </c>
      <c r="C31" s="1" t="s">
        <v>39</v>
      </c>
      <c r="D31" s="1" t="s">
        <v>51</v>
      </c>
      <c r="E31" s="1">
        <v>398.4855</v>
      </c>
      <c r="F31" s="1" t="s">
        <v>39</v>
      </c>
      <c r="G31" s="1" t="s">
        <v>51</v>
      </c>
      <c r="H31" s="1">
        <v>310.5505</v>
      </c>
      <c r="I31" s="1" t="s">
        <v>39</v>
      </c>
      <c r="J31" s="1" t="s">
        <v>51</v>
      </c>
      <c r="K31" s="1">
        <v>962.23620000000005</v>
      </c>
      <c r="L31" s="1" t="s">
        <v>39</v>
      </c>
      <c r="M31" s="1" t="s">
        <v>51</v>
      </c>
      <c r="N31" s="1">
        <v>16</v>
      </c>
      <c r="O31" s="1" t="s">
        <v>37</v>
      </c>
      <c r="P31" s="1" t="s">
        <v>51</v>
      </c>
      <c r="Q31" s="1">
        <v>375.52300000000002</v>
      </c>
      <c r="R31" s="1" t="s">
        <v>39</v>
      </c>
    </row>
    <row r="32" spans="1:18" x14ac:dyDescent="0.2">
      <c r="A32" s="1" t="s">
        <v>52</v>
      </c>
      <c r="B32" s="1">
        <v>3100</v>
      </c>
      <c r="C32" s="1" t="s">
        <v>39</v>
      </c>
      <c r="D32" s="1" t="s">
        <v>53</v>
      </c>
      <c r="E32" s="1">
        <v>189.6009</v>
      </c>
      <c r="F32" s="1" t="s">
        <v>39</v>
      </c>
      <c r="G32" s="1" t="s">
        <v>53</v>
      </c>
      <c r="H32" s="1">
        <v>141.9648</v>
      </c>
      <c r="I32" s="1" t="s">
        <v>39</v>
      </c>
      <c r="J32" s="1" t="s">
        <v>53</v>
      </c>
      <c r="K32" s="1">
        <v>24</v>
      </c>
      <c r="L32" s="1" t="s">
        <v>37</v>
      </c>
      <c r="M32" s="1" t="s">
        <v>53</v>
      </c>
      <c r="N32" s="1">
        <v>44</v>
      </c>
      <c r="O32" s="1" t="s">
        <v>37</v>
      </c>
      <c r="P32" s="1" t="s">
        <v>53</v>
      </c>
      <c r="Q32" s="1">
        <v>335.57190000000003</v>
      </c>
      <c r="R32" s="1" t="s">
        <v>39</v>
      </c>
    </row>
    <row r="33" spans="1:18" x14ac:dyDescent="0.2">
      <c r="A33" s="1" t="s">
        <v>54</v>
      </c>
      <c r="B33" s="1">
        <v>323.4676</v>
      </c>
      <c r="C33" s="1" t="s">
        <v>39</v>
      </c>
      <c r="D33" s="1" t="s">
        <v>55</v>
      </c>
      <c r="E33" s="1">
        <v>11.3749</v>
      </c>
      <c r="F33" s="1" t="s">
        <v>39</v>
      </c>
      <c r="G33" s="1" t="s">
        <v>55</v>
      </c>
      <c r="H33" s="1">
        <v>8282.7036000000007</v>
      </c>
      <c r="I33" s="1" t="s">
        <v>56</v>
      </c>
      <c r="J33" s="1" t="s">
        <v>55</v>
      </c>
      <c r="K33" s="1">
        <v>6011</v>
      </c>
      <c r="L33" s="1" t="s">
        <v>39</v>
      </c>
      <c r="M33" s="1" t="s">
        <v>55</v>
      </c>
      <c r="N33" s="1">
        <v>4440</v>
      </c>
      <c r="O33" s="1" t="s">
        <v>39</v>
      </c>
      <c r="P33" s="1" t="s">
        <v>55</v>
      </c>
      <c r="Q33" s="1">
        <v>30.8962</v>
      </c>
      <c r="R33" s="1" t="s">
        <v>39</v>
      </c>
    </row>
    <row r="34" spans="1:18" x14ac:dyDescent="0.2">
      <c r="A34" s="1" t="s">
        <v>57</v>
      </c>
      <c r="B34" s="1">
        <v>4063.8171000000002</v>
      </c>
      <c r="C34" s="1" t="s">
        <v>41</v>
      </c>
      <c r="D34" s="1" t="s">
        <v>58</v>
      </c>
      <c r="E34" s="1">
        <v>239.7852</v>
      </c>
      <c r="F34" s="1" t="s">
        <v>56</v>
      </c>
      <c r="G34" s="1" t="s">
        <v>58</v>
      </c>
      <c r="H34" s="1">
        <v>176.34030000000001</v>
      </c>
      <c r="I34" s="1" t="s">
        <v>56</v>
      </c>
      <c r="J34" s="1" t="s">
        <v>58</v>
      </c>
      <c r="K34" s="1">
        <v>126.26</v>
      </c>
      <c r="L34" s="1" t="s">
        <v>39</v>
      </c>
      <c r="M34" s="1" t="s">
        <v>58</v>
      </c>
      <c r="N34" s="1">
        <v>66.569000000000003</v>
      </c>
      <c r="O34" s="1" t="s">
        <v>39</v>
      </c>
      <c r="P34" s="1" t="s">
        <v>59</v>
      </c>
      <c r="Q34" s="1">
        <v>17</v>
      </c>
      <c r="R34" s="1" t="s">
        <v>37</v>
      </c>
    </row>
    <row r="35" spans="1:18" x14ac:dyDescent="0.2">
      <c r="A35" s="1" t="s">
        <v>35</v>
      </c>
      <c r="B35" s="1">
        <v>18</v>
      </c>
      <c r="C35" s="1" t="s">
        <v>37</v>
      </c>
      <c r="D35" s="1" t="s">
        <v>60</v>
      </c>
      <c r="E35" s="1">
        <v>445.68619999999999</v>
      </c>
      <c r="F35" s="1" t="s">
        <v>56</v>
      </c>
      <c r="G35" s="1" t="s">
        <v>60</v>
      </c>
      <c r="H35" s="1">
        <v>347.33920000000001</v>
      </c>
      <c r="I35" s="1" t="s">
        <v>56</v>
      </c>
      <c r="J35" s="1" t="s">
        <v>60</v>
      </c>
      <c r="K35" s="1">
        <v>1076.2293999999999</v>
      </c>
      <c r="L35" s="1" t="s">
        <v>56</v>
      </c>
      <c r="M35" s="1" t="s">
        <v>60</v>
      </c>
      <c r="N35" s="1">
        <v>17.787199999999999</v>
      </c>
      <c r="O35" s="1" t="s">
        <v>39</v>
      </c>
      <c r="P35" s="1" t="s">
        <v>58</v>
      </c>
      <c r="Q35" s="1">
        <v>651.82190000000003</v>
      </c>
      <c r="R35" s="1" t="s">
        <v>56</v>
      </c>
    </row>
    <row r="36" spans="1:18" x14ac:dyDescent="0.2">
      <c r="A36" s="1" t="s">
        <v>61</v>
      </c>
      <c r="B36" s="1">
        <v>227.46369999999999</v>
      </c>
      <c r="C36" s="1" t="s">
        <v>39</v>
      </c>
      <c r="D36" s="1" t="s">
        <v>62</v>
      </c>
      <c r="E36" s="1">
        <v>71.367599999999996</v>
      </c>
      <c r="F36" s="1" t="s">
        <v>56</v>
      </c>
      <c r="G36" s="1" t="s">
        <v>62</v>
      </c>
      <c r="H36" s="1">
        <v>52.484400000000001</v>
      </c>
      <c r="I36" s="1" t="s">
        <v>56</v>
      </c>
      <c r="J36" s="1" t="s">
        <v>62</v>
      </c>
      <c r="K36" s="1">
        <v>37.578899999999997</v>
      </c>
      <c r="L36" s="1" t="s">
        <v>39</v>
      </c>
      <c r="M36" s="1" t="s">
        <v>62</v>
      </c>
      <c r="N36" s="1">
        <v>19.812999999999999</v>
      </c>
      <c r="O36" s="1" t="s">
        <v>39</v>
      </c>
      <c r="P36" s="1" t="s">
        <v>60</v>
      </c>
      <c r="Q36" s="1">
        <v>420.01089999999999</v>
      </c>
      <c r="R36" s="1" t="s">
        <v>56</v>
      </c>
    </row>
    <row r="37" spans="1:18" x14ac:dyDescent="0.2">
      <c r="A37" s="1" t="s">
        <v>55</v>
      </c>
      <c r="B37" s="1">
        <v>5203</v>
      </c>
      <c r="C37" s="1" t="s">
        <v>39</v>
      </c>
      <c r="D37" s="1" t="s">
        <v>63</v>
      </c>
      <c r="E37" s="1">
        <v>1282.5995</v>
      </c>
      <c r="F37" s="1" t="s">
        <v>56</v>
      </c>
      <c r="G37" s="1" t="s">
        <v>63</v>
      </c>
      <c r="H37" s="1">
        <v>942.779</v>
      </c>
      <c r="I37" s="1" t="s">
        <v>56</v>
      </c>
      <c r="J37" s="1" t="s">
        <v>63</v>
      </c>
      <c r="K37" s="1">
        <v>680.80930000000001</v>
      </c>
      <c r="L37" s="1" t="s">
        <v>39</v>
      </c>
      <c r="M37" s="1" t="s">
        <v>63</v>
      </c>
      <c r="N37" s="1">
        <v>358.54669999999999</v>
      </c>
      <c r="O37" s="1" t="s">
        <v>39</v>
      </c>
      <c r="P37" s="1" t="s">
        <v>62</v>
      </c>
      <c r="Q37" s="1">
        <v>194.0027</v>
      </c>
      <c r="R37" s="1" t="s">
        <v>56</v>
      </c>
    </row>
    <row r="38" spans="1:18" x14ac:dyDescent="0.2">
      <c r="A38" s="1" t="s">
        <v>51</v>
      </c>
      <c r="B38" s="1">
        <v>2465</v>
      </c>
      <c r="C38" s="1" t="s">
        <v>39</v>
      </c>
      <c r="D38" s="1" t="s">
        <v>64</v>
      </c>
      <c r="E38" s="1">
        <v>3612.8245999999999</v>
      </c>
      <c r="F38" s="1" t="s">
        <v>56</v>
      </c>
      <c r="G38" s="1" t="s">
        <v>64</v>
      </c>
      <c r="H38" s="1">
        <v>2656.9052000000001</v>
      </c>
      <c r="I38" s="1" t="s">
        <v>56</v>
      </c>
      <c r="J38" s="1" t="s">
        <v>64</v>
      </c>
      <c r="K38" s="1">
        <v>1902</v>
      </c>
      <c r="L38" s="1" t="s">
        <v>39</v>
      </c>
      <c r="M38" s="1" t="s">
        <v>64</v>
      </c>
      <c r="N38" s="1">
        <v>1003</v>
      </c>
      <c r="O38" s="1" t="s">
        <v>39</v>
      </c>
      <c r="P38" s="1" t="s">
        <v>63</v>
      </c>
      <c r="Q38" s="1">
        <v>3505.0335</v>
      </c>
      <c r="R38" s="1" t="s">
        <v>56</v>
      </c>
    </row>
    <row r="39" spans="1:18" x14ac:dyDescent="0.2">
      <c r="A39" s="1" t="s">
        <v>58</v>
      </c>
      <c r="B39" s="1">
        <v>42.268700000000003</v>
      </c>
      <c r="C39" s="1" t="s">
        <v>39</v>
      </c>
      <c r="D39" s="1" t="s">
        <v>65</v>
      </c>
      <c r="E39" s="1">
        <v>72.997</v>
      </c>
      <c r="F39" s="1" t="s">
        <v>56</v>
      </c>
      <c r="G39" s="1" t="s">
        <v>65</v>
      </c>
      <c r="H39" s="1">
        <v>53.682699999999997</v>
      </c>
      <c r="I39" s="1" t="s">
        <v>56</v>
      </c>
      <c r="J39" s="1" t="s">
        <v>65</v>
      </c>
      <c r="K39" s="1">
        <v>38.436900000000001</v>
      </c>
      <c r="L39" s="1" t="s">
        <v>39</v>
      </c>
      <c r="M39" s="1" t="s">
        <v>65</v>
      </c>
      <c r="N39" s="1">
        <v>20.2654</v>
      </c>
      <c r="O39" s="1" t="s">
        <v>39</v>
      </c>
      <c r="P39" s="1" t="s">
        <v>64</v>
      </c>
      <c r="Q39" s="1">
        <v>9820.9488000000001</v>
      </c>
      <c r="R39" s="1" t="s">
        <v>56</v>
      </c>
    </row>
    <row r="40" spans="1:18" x14ac:dyDescent="0.2">
      <c r="A40" s="1" t="s">
        <v>65</v>
      </c>
      <c r="B40" s="1">
        <v>2978.1223</v>
      </c>
      <c r="C40" s="1" t="s">
        <v>56</v>
      </c>
      <c r="D40" s="1" t="s">
        <v>66</v>
      </c>
      <c r="E40" s="1">
        <v>627.32730000000004</v>
      </c>
      <c r="F40" s="1" t="s">
        <v>56</v>
      </c>
      <c r="G40" s="1" t="s">
        <v>66</v>
      </c>
      <c r="H40" s="1">
        <v>461.3424</v>
      </c>
      <c r="I40" s="1" t="s">
        <v>56</v>
      </c>
      <c r="J40" s="1" t="s">
        <v>66</v>
      </c>
      <c r="K40" s="1">
        <v>330.322</v>
      </c>
      <c r="L40" s="1" t="s">
        <v>39</v>
      </c>
      <c r="M40" s="1" t="s">
        <v>66</v>
      </c>
      <c r="N40" s="1">
        <v>174.1583</v>
      </c>
      <c r="O40" s="1" t="s">
        <v>39</v>
      </c>
      <c r="P40" s="1" t="s">
        <v>65</v>
      </c>
      <c r="Q40" s="1">
        <v>198.43190000000001</v>
      </c>
      <c r="R40" s="1" t="s">
        <v>56</v>
      </c>
    </row>
    <row r="41" spans="1:18" x14ac:dyDescent="0.2">
      <c r="A41" s="1" t="s">
        <v>63</v>
      </c>
      <c r="B41" s="1">
        <v>61.414200000000001</v>
      </c>
      <c r="C41" s="1" t="s">
        <v>39</v>
      </c>
      <c r="D41" s="1" t="s">
        <v>67</v>
      </c>
      <c r="E41" s="1">
        <v>2046.2438</v>
      </c>
      <c r="F41" s="1" t="s">
        <v>56</v>
      </c>
      <c r="G41" s="1" t="s">
        <v>67</v>
      </c>
      <c r="H41" s="1">
        <v>1504.827</v>
      </c>
      <c r="I41" s="1" t="s">
        <v>56</v>
      </c>
      <c r="J41" s="1" t="s">
        <v>67</v>
      </c>
      <c r="K41" s="1">
        <v>1077</v>
      </c>
      <c r="L41" s="1" t="s">
        <v>39</v>
      </c>
      <c r="M41" s="1" t="s">
        <v>67</v>
      </c>
      <c r="N41" s="1">
        <v>568.07709999999997</v>
      </c>
      <c r="O41" s="1" t="s">
        <v>39</v>
      </c>
      <c r="P41" s="1" t="s">
        <v>66</v>
      </c>
      <c r="Q41" s="1">
        <v>1705.2998</v>
      </c>
      <c r="R41" s="1" t="s">
        <v>56</v>
      </c>
    </row>
    <row r="42" spans="1:18" x14ac:dyDescent="0.2">
      <c r="A42" s="1" t="s">
        <v>53</v>
      </c>
      <c r="B42" s="1">
        <v>8688</v>
      </c>
      <c r="C42" s="1" t="s">
        <v>39</v>
      </c>
      <c r="D42" s="1" t="s">
        <v>68</v>
      </c>
      <c r="E42" s="1">
        <v>19</v>
      </c>
      <c r="F42" s="1" t="s">
        <v>37</v>
      </c>
      <c r="G42" s="1" t="s">
        <v>69</v>
      </c>
      <c r="H42" s="1">
        <v>18</v>
      </c>
      <c r="I42" s="1" t="s">
        <v>37</v>
      </c>
      <c r="J42" s="1" t="s">
        <v>70</v>
      </c>
      <c r="K42" s="1">
        <v>2.2463000000000002</v>
      </c>
      <c r="L42" s="1" t="s">
        <v>14</v>
      </c>
      <c r="M42" s="1" t="s">
        <v>70</v>
      </c>
      <c r="N42" s="1">
        <v>1.1842999999999999</v>
      </c>
      <c r="O42" s="1" t="s">
        <v>14</v>
      </c>
      <c r="P42" s="1" t="s">
        <v>67</v>
      </c>
      <c r="Q42" s="1">
        <v>5562.4223000000002</v>
      </c>
      <c r="R42" s="1" t="s">
        <v>56</v>
      </c>
    </row>
    <row r="43" spans="1:18" x14ac:dyDescent="0.2">
      <c r="A43" s="1" t="s">
        <v>64</v>
      </c>
      <c r="B43" s="1">
        <v>472.61200000000002</v>
      </c>
      <c r="C43" s="1" t="s">
        <v>39</v>
      </c>
      <c r="D43" s="1" t="s">
        <v>70</v>
      </c>
      <c r="E43" s="1">
        <v>4.266</v>
      </c>
      <c r="F43" s="1" t="s">
        <v>71</v>
      </c>
      <c r="G43" s="1" t="s">
        <v>70</v>
      </c>
      <c r="H43" s="1">
        <v>3.1373000000000002</v>
      </c>
      <c r="I43" s="1" t="s">
        <v>71</v>
      </c>
      <c r="J43" s="1" t="s">
        <v>72</v>
      </c>
      <c r="K43" s="1">
        <v>6.6806000000000001</v>
      </c>
      <c r="L43" s="1" t="s">
        <v>14</v>
      </c>
      <c r="M43" s="1" t="s">
        <v>72</v>
      </c>
      <c r="N43" s="1">
        <v>3.5222000000000002</v>
      </c>
      <c r="O43" s="1" t="s">
        <v>14</v>
      </c>
      <c r="P43" s="1" t="s">
        <v>70</v>
      </c>
      <c r="Q43" s="1">
        <v>0.156</v>
      </c>
      <c r="R43" s="1" t="s">
        <v>14</v>
      </c>
    </row>
    <row r="44" spans="1:18" x14ac:dyDescent="0.2">
      <c r="A44" s="1" t="s">
        <v>73</v>
      </c>
      <c r="B44" s="1">
        <v>104.8188</v>
      </c>
      <c r="C44" s="1" t="s">
        <v>39</v>
      </c>
      <c r="D44" s="1" t="s">
        <v>72</v>
      </c>
      <c r="E44" s="1">
        <v>12.6873</v>
      </c>
      <c r="F44" s="1" t="s">
        <v>71</v>
      </c>
      <c r="G44" s="1" t="s">
        <v>72</v>
      </c>
      <c r="H44" s="1">
        <v>9.3303999999999991</v>
      </c>
      <c r="I44" s="1" t="s">
        <v>71</v>
      </c>
      <c r="J44" s="1" t="s">
        <v>61</v>
      </c>
      <c r="K44" s="1">
        <v>88.786799999999999</v>
      </c>
      <c r="L44" s="1" t="s">
        <v>39</v>
      </c>
      <c r="M44" s="1" t="s">
        <v>61</v>
      </c>
      <c r="N44" s="1">
        <v>1467</v>
      </c>
      <c r="O44" s="1" t="s">
        <v>39</v>
      </c>
      <c r="P44" s="1" t="s">
        <v>72</v>
      </c>
      <c r="Q44" s="1">
        <v>34.488700000000001</v>
      </c>
      <c r="R44" s="1" t="s">
        <v>71</v>
      </c>
    </row>
    <row r="45" spans="1:18" x14ac:dyDescent="0.2">
      <c r="A45" s="1" t="s">
        <v>60</v>
      </c>
      <c r="B45" s="1">
        <v>2757.2024999999999</v>
      </c>
      <c r="C45" s="1" t="s">
        <v>56</v>
      </c>
      <c r="D45" s="1" t="s">
        <v>61</v>
      </c>
      <c r="E45" s="1">
        <v>36.7682</v>
      </c>
      <c r="F45" s="1" t="s">
        <v>39</v>
      </c>
      <c r="G45" s="1" t="s">
        <v>61</v>
      </c>
      <c r="H45" s="1">
        <v>28.654800000000002</v>
      </c>
      <c r="I45" s="1" t="s">
        <v>39</v>
      </c>
      <c r="J45" s="1" t="s">
        <v>74</v>
      </c>
      <c r="K45" s="1">
        <v>82.883899999999997</v>
      </c>
      <c r="L45" s="1" t="s">
        <v>39</v>
      </c>
      <c r="M45" s="1" t="s">
        <v>74</v>
      </c>
      <c r="N45" s="1">
        <v>1370</v>
      </c>
      <c r="O45" s="1" t="s">
        <v>39</v>
      </c>
      <c r="P45" s="1" t="s">
        <v>61</v>
      </c>
      <c r="Q45" s="1">
        <v>34.650100000000002</v>
      </c>
      <c r="R45" s="1" t="s">
        <v>39</v>
      </c>
    </row>
    <row r="46" spans="1:18" x14ac:dyDescent="0.2">
      <c r="A46" s="1" t="s">
        <v>62</v>
      </c>
      <c r="B46" s="1">
        <v>2911.6477</v>
      </c>
      <c r="C46" s="1" t="s">
        <v>56</v>
      </c>
      <c r="D46" s="1" t="s">
        <v>74</v>
      </c>
      <c r="E46" s="1">
        <v>34.323799999999999</v>
      </c>
      <c r="F46" s="1" t="s">
        <v>39</v>
      </c>
      <c r="G46" s="1" t="s">
        <v>74</v>
      </c>
      <c r="H46" s="1">
        <v>26.749700000000001</v>
      </c>
      <c r="I46" s="1" t="s">
        <v>39</v>
      </c>
      <c r="J46" s="1" t="s">
        <v>75</v>
      </c>
      <c r="K46" s="1">
        <v>74.830500000000001</v>
      </c>
      <c r="L46" s="1" t="s">
        <v>39</v>
      </c>
      <c r="M46" s="1" t="s">
        <v>75</v>
      </c>
      <c r="N46" s="1">
        <v>1237</v>
      </c>
      <c r="O46" s="1" t="s">
        <v>39</v>
      </c>
      <c r="P46" s="1" t="s">
        <v>74</v>
      </c>
      <c r="Q46" s="1">
        <v>32.346400000000003</v>
      </c>
      <c r="R46" s="1" t="s">
        <v>39</v>
      </c>
    </row>
    <row r="47" spans="1:18" x14ac:dyDescent="0.2">
      <c r="A47" s="1" t="s">
        <v>74</v>
      </c>
      <c r="B47" s="1">
        <v>212.34119999999999</v>
      </c>
      <c r="C47" s="1" t="s">
        <v>39</v>
      </c>
      <c r="D47" s="1" t="s">
        <v>75</v>
      </c>
      <c r="E47" s="1">
        <v>30.988700000000001</v>
      </c>
      <c r="F47" s="1" t="s">
        <v>39</v>
      </c>
      <c r="G47" s="1" t="s">
        <v>75</v>
      </c>
      <c r="H47" s="1">
        <v>24.150600000000001</v>
      </c>
      <c r="I47" s="1" t="s">
        <v>39</v>
      </c>
      <c r="J47" s="1" t="s">
        <v>73</v>
      </c>
      <c r="K47" s="1">
        <v>293.2627</v>
      </c>
      <c r="L47" s="1" t="s">
        <v>56</v>
      </c>
      <c r="M47" s="1" t="s">
        <v>73</v>
      </c>
      <c r="N47" s="1">
        <v>154.61920000000001</v>
      </c>
      <c r="O47" s="1" t="s">
        <v>56</v>
      </c>
      <c r="P47" s="1" t="s">
        <v>75</v>
      </c>
      <c r="Q47" s="1">
        <v>29.203499999999998</v>
      </c>
      <c r="R47" s="1" t="s">
        <v>39</v>
      </c>
    </row>
    <row r="48" spans="1:18" x14ac:dyDescent="0.2">
      <c r="A48" s="1" t="s">
        <v>75</v>
      </c>
      <c r="B48" s="1">
        <v>191.7089</v>
      </c>
      <c r="C48" s="1" t="s">
        <v>39</v>
      </c>
      <c r="D48" s="1" t="s">
        <v>73</v>
      </c>
      <c r="E48" s="1">
        <v>0.55689999999999995</v>
      </c>
      <c r="F48" s="1" t="s">
        <v>56</v>
      </c>
      <c r="G48" s="1" t="s">
        <v>73</v>
      </c>
      <c r="H48" s="1">
        <v>0.40960000000000002</v>
      </c>
      <c r="I48" s="1" t="s">
        <v>56</v>
      </c>
      <c r="J48" s="1" t="s">
        <v>29</v>
      </c>
      <c r="K48" s="1" t="s">
        <v>36</v>
      </c>
      <c r="M48" s="1" t="s">
        <v>29</v>
      </c>
      <c r="N48" s="1" t="s">
        <v>36</v>
      </c>
      <c r="P48" s="1" t="s">
        <v>73</v>
      </c>
      <c r="Q48" s="1">
        <v>1.514</v>
      </c>
      <c r="R48" s="1" t="s">
        <v>56</v>
      </c>
    </row>
    <row r="49" spans="1:18" x14ac:dyDescent="0.2">
      <c r="A49" s="1" t="s">
        <v>66</v>
      </c>
      <c r="B49" s="1">
        <v>25.593599999999999</v>
      </c>
      <c r="C49" s="1" t="s">
        <v>39</v>
      </c>
      <c r="D49" s="1" t="s">
        <v>29</v>
      </c>
      <c r="E49" s="1" t="s">
        <v>36</v>
      </c>
      <c r="G49" s="1" t="s">
        <v>29</v>
      </c>
      <c r="H49" s="1" t="s">
        <v>36</v>
      </c>
      <c r="J49" s="1" t="s">
        <v>45</v>
      </c>
      <c r="K49" s="1">
        <v>32</v>
      </c>
      <c r="L49" s="1" t="s">
        <v>37</v>
      </c>
      <c r="M49" s="1" t="s">
        <v>45</v>
      </c>
      <c r="N49" s="1">
        <v>69</v>
      </c>
      <c r="O49" s="1" t="s">
        <v>37</v>
      </c>
      <c r="P49" s="1" t="s">
        <v>29</v>
      </c>
      <c r="Q49" s="1" t="s">
        <v>36</v>
      </c>
    </row>
    <row r="50" spans="1:18" x14ac:dyDescent="0.2">
      <c r="A50" s="1" t="s">
        <v>70</v>
      </c>
      <c r="B50" s="1">
        <v>0.55810000000000004</v>
      </c>
      <c r="C50" s="1" t="s">
        <v>14</v>
      </c>
      <c r="D50" s="1" t="s">
        <v>49</v>
      </c>
      <c r="E50" s="1">
        <v>19</v>
      </c>
      <c r="F50" s="1" t="s">
        <v>37</v>
      </c>
      <c r="G50" s="1" t="s">
        <v>49</v>
      </c>
      <c r="H50" s="1">
        <v>18</v>
      </c>
      <c r="I50" s="1" t="s">
        <v>37</v>
      </c>
      <c r="J50" s="1" t="s">
        <v>48</v>
      </c>
      <c r="K50" s="1">
        <v>24</v>
      </c>
      <c r="L50" s="1" t="s">
        <v>37</v>
      </c>
      <c r="M50" s="1" t="s">
        <v>48</v>
      </c>
      <c r="N50" s="1">
        <v>44</v>
      </c>
      <c r="O50" s="1" t="s">
        <v>37</v>
      </c>
      <c r="P50" s="1" t="s">
        <v>49</v>
      </c>
      <c r="Q50" s="1">
        <v>17</v>
      </c>
      <c r="R50" s="1" t="s">
        <v>37</v>
      </c>
    </row>
    <row r="51" spans="1:18" x14ac:dyDescent="0.2">
      <c r="A51" s="1" t="s">
        <v>40</v>
      </c>
      <c r="B51" s="1">
        <v>4063.8171000000002</v>
      </c>
      <c r="C51" s="1" t="s">
        <v>41</v>
      </c>
      <c r="D51" s="1" t="s">
        <v>54</v>
      </c>
      <c r="E51" s="1">
        <v>19</v>
      </c>
      <c r="F51" s="1" t="s">
        <v>37</v>
      </c>
      <c r="G51" s="1" t="s">
        <v>54</v>
      </c>
      <c r="H51" s="1">
        <v>18</v>
      </c>
      <c r="I51" s="1" t="s">
        <v>37</v>
      </c>
      <c r="J51" s="1" t="s">
        <v>42</v>
      </c>
      <c r="K51" s="1">
        <v>6011</v>
      </c>
      <c r="L51" s="1" t="s">
        <v>39</v>
      </c>
      <c r="M51" s="1" t="s">
        <v>52</v>
      </c>
      <c r="N51" s="1">
        <v>20</v>
      </c>
      <c r="O51" s="1" t="s">
        <v>37</v>
      </c>
      <c r="P51" s="1" t="s">
        <v>54</v>
      </c>
      <c r="Q51" s="1">
        <v>17</v>
      </c>
      <c r="R51" s="1" t="s">
        <v>37</v>
      </c>
    </row>
    <row r="52" spans="1:18" x14ac:dyDescent="0.2">
      <c r="A52" s="1" t="s">
        <v>47</v>
      </c>
      <c r="B52" s="1">
        <v>1217.2055</v>
      </c>
      <c r="C52" s="1" t="s">
        <v>41</v>
      </c>
      <c r="D52" s="1" t="s">
        <v>38</v>
      </c>
      <c r="E52" s="1">
        <v>19</v>
      </c>
      <c r="F52" s="1" t="s">
        <v>37</v>
      </c>
      <c r="G52" s="1" t="s">
        <v>38</v>
      </c>
      <c r="H52" s="1">
        <v>18</v>
      </c>
      <c r="I52" s="1" t="s">
        <v>37</v>
      </c>
      <c r="J52" s="1" t="s">
        <v>49</v>
      </c>
      <c r="K52" s="1">
        <v>4194</v>
      </c>
      <c r="L52" s="1" t="s">
        <v>39</v>
      </c>
      <c r="M52" s="1" t="s">
        <v>42</v>
      </c>
      <c r="N52" s="1">
        <v>4440</v>
      </c>
      <c r="O52" s="1" t="s">
        <v>39</v>
      </c>
      <c r="P52" s="1" t="s">
        <v>38</v>
      </c>
      <c r="Q52" s="1">
        <v>17</v>
      </c>
      <c r="R52" s="1" t="s">
        <v>37</v>
      </c>
    </row>
    <row r="53" spans="1:18" x14ac:dyDescent="0.2">
      <c r="A53" s="1" t="s">
        <v>43</v>
      </c>
      <c r="B53" s="1">
        <v>1511.9544000000001</v>
      </c>
      <c r="C53" s="1" t="s">
        <v>41</v>
      </c>
      <c r="D53" s="1" t="s">
        <v>45</v>
      </c>
      <c r="E53" s="1">
        <v>701.98760000000004</v>
      </c>
      <c r="F53" s="1" t="s">
        <v>39</v>
      </c>
      <c r="G53" s="1" t="s">
        <v>45</v>
      </c>
      <c r="H53" s="1">
        <v>540.70039999999995</v>
      </c>
      <c r="I53" s="1" t="s">
        <v>39</v>
      </c>
      <c r="J53" s="1" t="s">
        <v>54</v>
      </c>
      <c r="K53" s="1">
        <v>2291</v>
      </c>
      <c r="L53" s="1" t="s">
        <v>39</v>
      </c>
      <c r="M53" s="1" t="s">
        <v>49</v>
      </c>
      <c r="N53" s="1">
        <v>2211</v>
      </c>
      <c r="O53" s="1" t="s">
        <v>39</v>
      </c>
      <c r="P53" s="1" t="s">
        <v>45</v>
      </c>
      <c r="Q53" s="1">
        <v>838.61109999999996</v>
      </c>
      <c r="R53" s="1" t="s">
        <v>39</v>
      </c>
    </row>
    <row r="54" spans="1:18" x14ac:dyDescent="0.2">
      <c r="A54" s="1" t="s">
        <v>46</v>
      </c>
      <c r="B54" s="1">
        <v>1049.9481000000001</v>
      </c>
      <c r="C54" s="1" t="s">
        <v>41</v>
      </c>
      <c r="D54" s="1" t="s">
        <v>52</v>
      </c>
      <c r="E54" s="1">
        <v>501.01179999999999</v>
      </c>
      <c r="F54" s="1" t="s">
        <v>39</v>
      </c>
      <c r="G54" s="1" t="s">
        <v>52</v>
      </c>
      <c r="H54" s="1">
        <v>390.45299999999997</v>
      </c>
      <c r="I54" s="1" t="s">
        <v>39</v>
      </c>
      <c r="J54" s="1" t="s">
        <v>50</v>
      </c>
      <c r="K54" s="1">
        <v>1902</v>
      </c>
      <c r="L54" s="1" t="s">
        <v>39</v>
      </c>
      <c r="M54" s="1" t="s">
        <v>54</v>
      </c>
      <c r="N54" s="1">
        <v>1208</v>
      </c>
      <c r="O54" s="1" t="s">
        <v>39</v>
      </c>
      <c r="P54" s="1" t="s">
        <v>52</v>
      </c>
      <c r="Q54" s="1">
        <v>472.14299999999997</v>
      </c>
      <c r="R54" s="1" t="s">
        <v>39</v>
      </c>
    </row>
    <row r="55" spans="1:18" x14ac:dyDescent="0.2">
      <c r="A55" s="1" t="s">
        <v>44</v>
      </c>
      <c r="B55" s="1">
        <v>284.70909999999998</v>
      </c>
      <c r="C55" s="1" t="s">
        <v>41</v>
      </c>
      <c r="D55" s="1" t="s">
        <v>48</v>
      </c>
      <c r="E55" s="1">
        <v>189.6009</v>
      </c>
      <c r="F55" s="1" t="s">
        <v>39</v>
      </c>
      <c r="G55" s="1" t="s">
        <v>48</v>
      </c>
      <c r="H55" s="1">
        <v>141.9648</v>
      </c>
      <c r="I55" s="1" t="s">
        <v>39</v>
      </c>
      <c r="J55" s="1" t="s">
        <v>52</v>
      </c>
      <c r="K55" s="1">
        <v>1210</v>
      </c>
      <c r="L55" s="1" t="s">
        <v>39</v>
      </c>
      <c r="M55" s="1" t="s">
        <v>50</v>
      </c>
      <c r="N55" s="1">
        <v>1003</v>
      </c>
      <c r="O55" s="1" t="s">
        <v>39</v>
      </c>
      <c r="P55" s="1" t="s">
        <v>48</v>
      </c>
      <c r="Q55" s="1">
        <v>335.57190000000003</v>
      </c>
      <c r="R55" s="1" t="s">
        <v>39</v>
      </c>
    </row>
    <row r="56" spans="1:18" x14ac:dyDescent="0.2">
      <c r="A56" s="1" t="s">
        <v>67</v>
      </c>
      <c r="B56" s="1">
        <v>83.482399999999998</v>
      </c>
      <c r="C56" s="1" t="s">
        <v>39</v>
      </c>
      <c r="D56" s="1" t="s">
        <v>42</v>
      </c>
      <c r="E56" s="1">
        <v>11.3749</v>
      </c>
      <c r="F56" s="1" t="s">
        <v>39</v>
      </c>
      <c r="G56" s="1" t="s">
        <v>42</v>
      </c>
      <c r="H56" s="1">
        <v>8282.7036000000007</v>
      </c>
      <c r="I56" s="1" t="s">
        <v>56</v>
      </c>
      <c r="J56" s="1" t="s">
        <v>38</v>
      </c>
      <c r="K56" s="1">
        <v>126.26</v>
      </c>
      <c r="L56" s="1" t="s">
        <v>39</v>
      </c>
      <c r="M56" s="1" t="s">
        <v>38</v>
      </c>
      <c r="N56" s="1">
        <v>66.569000000000003</v>
      </c>
      <c r="O56" s="1" t="s">
        <v>39</v>
      </c>
      <c r="P56" s="1" t="s">
        <v>42</v>
      </c>
      <c r="Q56" s="1">
        <v>30.8962</v>
      </c>
      <c r="R56" s="1" t="s">
        <v>39</v>
      </c>
    </row>
    <row r="57" spans="1:18" x14ac:dyDescent="0.2">
      <c r="A57" s="1" t="s">
        <v>72</v>
      </c>
      <c r="B57" s="1">
        <v>1.6597</v>
      </c>
      <c r="C57" s="1" t="s">
        <v>14</v>
      </c>
      <c r="D57" s="1" t="s">
        <v>50</v>
      </c>
      <c r="E57" s="1">
        <v>3612.8245999999999</v>
      </c>
      <c r="F57" s="1" t="s">
        <v>56</v>
      </c>
      <c r="G57" s="1" t="s">
        <v>50</v>
      </c>
      <c r="H57" s="1">
        <v>2656.9052000000001</v>
      </c>
      <c r="I57" s="1" t="s">
        <v>56</v>
      </c>
      <c r="J57" s="1" t="s">
        <v>57</v>
      </c>
      <c r="K57" s="1">
        <v>6084.5289000000002</v>
      </c>
      <c r="L57" s="1" t="s">
        <v>41</v>
      </c>
      <c r="M57" s="1" t="s">
        <v>57</v>
      </c>
      <c r="N57" s="1">
        <v>4758.1755000000003</v>
      </c>
      <c r="O57" s="1" t="s">
        <v>41</v>
      </c>
      <c r="P57" s="1" t="s">
        <v>50</v>
      </c>
      <c r="Q57" s="1">
        <v>9820.9488000000001</v>
      </c>
      <c r="R57" s="1" t="s">
        <v>56</v>
      </c>
    </row>
    <row r="58" spans="1:18" x14ac:dyDescent="0.2">
      <c r="A58" s="1" t="s">
        <v>76</v>
      </c>
      <c r="D58" s="1" t="s">
        <v>57</v>
      </c>
      <c r="E58" s="1">
        <v>102.1589</v>
      </c>
      <c r="F58" s="1" t="s">
        <v>41</v>
      </c>
      <c r="G58" s="1" t="s">
        <v>57</v>
      </c>
      <c r="H58" s="1">
        <v>83.955100000000002</v>
      </c>
      <c r="I58" s="1" t="s">
        <v>41</v>
      </c>
      <c r="J58" s="1" t="s">
        <v>76</v>
      </c>
      <c r="M58" s="1" t="s">
        <v>76</v>
      </c>
      <c r="P58" s="1" t="s">
        <v>57</v>
      </c>
      <c r="Q58" s="1">
        <v>230.74520000000001</v>
      </c>
      <c r="R58" s="1" t="s">
        <v>41</v>
      </c>
    </row>
    <row r="59" spans="1:18" x14ac:dyDescent="0.2">
      <c r="A59" s="1" t="s">
        <v>12</v>
      </c>
      <c r="D59" s="1" t="s">
        <v>76</v>
      </c>
      <c r="G59" s="1" t="s">
        <v>76</v>
      </c>
      <c r="J59" s="1" t="s">
        <v>12</v>
      </c>
      <c r="M59" s="1" t="s">
        <v>12</v>
      </c>
      <c r="P59" s="1" t="s">
        <v>76</v>
      </c>
    </row>
    <row r="60" spans="1:18" x14ac:dyDescent="0.2">
      <c r="A60" s="1" t="s">
        <v>11</v>
      </c>
      <c r="D60" s="1" t="s">
        <v>12</v>
      </c>
      <c r="G60" s="1" t="s">
        <v>12</v>
      </c>
      <c r="J60" s="1" t="s">
        <v>11</v>
      </c>
      <c r="M60" s="1" t="s">
        <v>11</v>
      </c>
      <c r="P60" s="1" t="s">
        <v>12</v>
      </c>
    </row>
    <row r="61" spans="1:18" x14ac:dyDescent="0.2">
      <c r="A61" s="1" t="s">
        <v>13</v>
      </c>
      <c r="B61" s="1">
        <v>1.0229999999999999</v>
      </c>
      <c r="C61" s="1" t="s">
        <v>14</v>
      </c>
      <c r="D61" s="1" t="s">
        <v>11</v>
      </c>
      <c r="G61" s="1" t="s">
        <v>11</v>
      </c>
      <c r="J61" s="1" t="s">
        <v>15</v>
      </c>
      <c r="K61" s="1">
        <v>0.36919999999999997</v>
      </c>
      <c r="L61" s="1" t="s">
        <v>17</v>
      </c>
      <c r="M61" s="1" t="s">
        <v>15</v>
      </c>
      <c r="N61" s="1">
        <v>0.21959999999999999</v>
      </c>
      <c r="O61" s="1" t="s">
        <v>17</v>
      </c>
      <c r="P61" s="1" t="s">
        <v>11</v>
      </c>
    </row>
    <row r="62" spans="1:18" x14ac:dyDescent="0.2">
      <c r="A62" s="1" t="s">
        <v>18</v>
      </c>
      <c r="B62" s="1">
        <v>0.10920000000000001</v>
      </c>
      <c r="C62" s="1" t="s">
        <v>16</v>
      </c>
      <c r="D62" s="1" t="s">
        <v>15</v>
      </c>
      <c r="E62" s="1">
        <v>3.3826000000000001</v>
      </c>
      <c r="F62" s="1" t="s">
        <v>16</v>
      </c>
      <c r="G62" s="1" t="s">
        <v>15</v>
      </c>
      <c r="H62" s="1">
        <v>2.7204000000000002</v>
      </c>
      <c r="I62" s="1" t="s">
        <v>16</v>
      </c>
      <c r="J62" s="1" t="s">
        <v>19</v>
      </c>
      <c r="K62" s="1">
        <v>0.36940000000000001</v>
      </c>
      <c r="L62" s="1" t="s">
        <v>17</v>
      </c>
      <c r="M62" s="1" t="s">
        <v>19</v>
      </c>
      <c r="N62" s="1">
        <v>0.21970000000000001</v>
      </c>
      <c r="O62" s="1" t="s">
        <v>17</v>
      </c>
      <c r="P62" s="1" t="s">
        <v>15</v>
      </c>
      <c r="Q62" s="1">
        <v>4.6086999999999998</v>
      </c>
      <c r="R62" s="1" t="s">
        <v>16</v>
      </c>
    </row>
    <row r="63" spans="1:18" x14ac:dyDescent="0.2">
      <c r="A63" s="1" t="s">
        <v>20</v>
      </c>
      <c r="B63" s="1">
        <v>89.527100000000004</v>
      </c>
      <c r="C63" s="1" t="s">
        <v>14</v>
      </c>
      <c r="D63" s="1" t="s">
        <v>19</v>
      </c>
      <c r="E63" s="1">
        <v>3.3828</v>
      </c>
      <c r="F63" s="1" t="s">
        <v>16</v>
      </c>
      <c r="G63" s="1" t="s">
        <v>19</v>
      </c>
      <c r="H63" s="1">
        <v>2.7206000000000001</v>
      </c>
      <c r="I63" s="1" t="s">
        <v>16</v>
      </c>
      <c r="J63" s="1" t="s">
        <v>21</v>
      </c>
      <c r="K63" s="10">
        <v>-1.5056E-4</v>
      </c>
      <c r="L63" s="1" t="s">
        <v>17</v>
      </c>
      <c r="M63" s="1" t="s">
        <v>21</v>
      </c>
      <c r="N63" s="10">
        <v>-7.9379E-5</v>
      </c>
      <c r="O63" s="1" t="s">
        <v>17</v>
      </c>
      <c r="P63" s="1" t="s">
        <v>19</v>
      </c>
      <c r="Q63" s="1">
        <v>4.6094999999999997</v>
      </c>
      <c r="R63" s="1" t="s">
        <v>16</v>
      </c>
    </row>
    <row r="64" spans="1:18" x14ac:dyDescent="0.2">
      <c r="A64" s="1" t="s">
        <v>15</v>
      </c>
      <c r="B64" s="1">
        <v>0.25840000000000002</v>
      </c>
      <c r="C64" s="1" t="s">
        <v>17</v>
      </c>
      <c r="D64" s="1" t="s">
        <v>21</v>
      </c>
      <c r="E64" s="10">
        <v>-2.8593000000000002E-7</v>
      </c>
      <c r="F64" s="1" t="s">
        <v>17</v>
      </c>
      <c r="G64" s="1" t="s">
        <v>21</v>
      </c>
      <c r="H64" s="10">
        <v>-2.1026999999999999E-7</v>
      </c>
      <c r="I64" s="1" t="s">
        <v>17</v>
      </c>
      <c r="J64" s="1" t="s">
        <v>22</v>
      </c>
      <c r="K64" s="1">
        <v>18.578900000000001</v>
      </c>
      <c r="L64" s="1" t="s">
        <v>14</v>
      </c>
      <c r="M64" s="1" t="s">
        <v>22</v>
      </c>
      <c r="N64" s="1">
        <v>49.283999999999999</v>
      </c>
      <c r="O64" s="1" t="s">
        <v>14</v>
      </c>
      <c r="P64" s="1" t="s">
        <v>21</v>
      </c>
      <c r="Q64" s="10">
        <v>-7.7724999999999995E-7</v>
      </c>
      <c r="R64" s="1" t="s">
        <v>17</v>
      </c>
    </row>
    <row r="65" spans="1:18" x14ac:dyDescent="0.2">
      <c r="A65" s="1" t="s">
        <v>19</v>
      </c>
      <c r="B65" s="1">
        <v>0.25850000000000001</v>
      </c>
      <c r="C65" s="1" t="s">
        <v>17</v>
      </c>
      <c r="D65" s="1" t="s">
        <v>22</v>
      </c>
      <c r="E65" s="1">
        <v>1.4415</v>
      </c>
      <c r="F65" s="1" t="s">
        <v>14</v>
      </c>
      <c r="G65" s="1" t="s">
        <v>22</v>
      </c>
      <c r="H65" s="1">
        <v>1.1047</v>
      </c>
      <c r="I65" s="1" t="s">
        <v>14</v>
      </c>
      <c r="J65" s="1" t="s">
        <v>20</v>
      </c>
      <c r="K65" s="1">
        <v>0.14050000000000001</v>
      </c>
      <c r="L65" s="1" t="s">
        <v>16</v>
      </c>
      <c r="M65" s="1" t="s">
        <v>20</v>
      </c>
      <c r="N65" s="1">
        <v>0.15909999999999999</v>
      </c>
      <c r="O65" s="1" t="s">
        <v>16</v>
      </c>
      <c r="P65" s="1" t="s">
        <v>22</v>
      </c>
      <c r="Q65" s="1">
        <v>1.5135000000000001</v>
      </c>
      <c r="R65" s="1" t="s">
        <v>14</v>
      </c>
    </row>
    <row r="66" spans="1:18" x14ac:dyDescent="0.2">
      <c r="A66" s="1" t="s">
        <v>21</v>
      </c>
      <c r="B66" s="10">
        <v>-5.0402999999999998E-5</v>
      </c>
      <c r="C66" s="1" t="s">
        <v>17</v>
      </c>
      <c r="D66" s="1" t="s">
        <v>20</v>
      </c>
      <c r="E66" s="1">
        <v>2.6141000000000001</v>
      </c>
      <c r="F66" s="1" t="s">
        <v>14</v>
      </c>
      <c r="G66" s="1" t="s">
        <v>20</v>
      </c>
      <c r="H66" s="1">
        <v>2.3081</v>
      </c>
      <c r="I66" s="1" t="s">
        <v>14</v>
      </c>
      <c r="J66" s="1" t="s">
        <v>23</v>
      </c>
      <c r="K66" s="1">
        <v>0.25769999999999998</v>
      </c>
      <c r="L66" s="1" t="s">
        <v>16</v>
      </c>
      <c r="M66" s="1" t="s">
        <v>23</v>
      </c>
      <c r="N66" s="1">
        <v>0.2407</v>
      </c>
      <c r="O66" s="1" t="s">
        <v>16</v>
      </c>
      <c r="P66" s="1" t="s">
        <v>20</v>
      </c>
      <c r="Q66" s="1">
        <v>3.2219000000000002</v>
      </c>
      <c r="R66" s="1" t="s">
        <v>14</v>
      </c>
    </row>
    <row r="67" spans="1:18" x14ac:dyDescent="0.2">
      <c r="A67" s="1" t="s">
        <v>24</v>
      </c>
      <c r="B67" s="1">
        <v>5.7686999999999999</v>
      </c>
      <c r="C67" s="1" t="s">
        <v>14</v>
      </c>
      <c r="D67" s="1" t="s">
        <v>23</v>
      </c>
      <c r="E67" s="1">
        <v>3.2271999999999998</v>
      </c>
      <c r="F67" s="1" t="s">
        <v>14</v>
      </c>
      <c r="G67" s="1" t="s">
        <v>23</v>
      </c>
      <c r="H67" s="1">
        <v>2.7111999999999998</v>
      </c>
      <c r="I67" s="1" t="s">
        <v>14</v>
      </c>
      <c r="J67" s="1" t="s">
        <v>25</v>
      </c>
      <c r="K67" s="1">
        <v>24.433</v>
      </c>
      <c r="L67" s="1" t="s">
        <v>14</v>
      </c>
      <c r="M67" s="1" t="s">
        <v>25</v>
      </c>
      <c r="N67" s="1">
        <v>15.328900000000001</v>
      </c>
      <c r="O67" s="1" t="s">
        <v>14</v>
      </c>
      <c r="P67" s="1" t="s">
        <v>23</v>
      </c>
      <c r="Q67" s="1">
        <v>5.0578000000000003</v>
      </c>
      <c r="R67" s="1" t="s">
        <v>14</v>
      </c>
    </row>
    <row r="68" spans="1:18" x14ac:dyDescent="0.2">
      <c r="A68" s="1" t="s">
        <v>23</v>
      </c>
      <c r="B68" s="1">
        <v>0.1991</v>
      </c>
      <c r="C68" s="1" t="s">
        <v>16</v>
      </c>
      <c r="D68" s="1" t="s">
        <v>25</v>
      </c>
      <c r="E68" s="1">
        <v>0.34350000000000003</v>
      </c>
      <c r="F68" s="1" t="s">
        <v>14</v>
      </c>
      <c r="G68" s="1" t="s">
        <v>25</v>
      </c>
      <c r="H68" s="1">
        <v>0.27850000000000003</v>
      </c>
      <c r="I68" s="1" t="s">
        <v>14</v>
      </c>
      <c r="J68" s="1" t="s">
        <v>26</v>
      </c>
      <c r="K68" s="1">
        <v>20.4758</v>
      </c>
      <c r="L68" s="1" t="s">
        <v>14</v>
      </c>
      <c r="M68" s="1" t="s">
        <v>26</v>
      </c>
      <c r="N68" s="1">
        <v>12.9704</v>
      </c>
      <c r="O68" s="1" t="s">
        <v>14</v>
      </c>
      <c r="P68" s="1" t="s">
        <v>25</v>
      </c>
      <c r="Q68" s="1">
        <v>0.48780000000000001</v>
      </c>
      <c r="R68" s="1" t="s">
        <v>14</v>
      </c>
    </row>
    <row r="69" spans="1:18" x14ac:dyDescent="0.2">
      <c r="A69" s="1" t="s">
        <v>25</v>
      </c>
      <c r="B69" s="1">
        <v>20.436399999999999</v>
      </c>
      <c r="C69" s="1" t="s">
        <v>14</v>
      </c>
      <c r="D69" s="1" t="s">
        <v>26</v>
      </c>
      <c r="E69" s="1">
        <v>0.26669999999999999</v>
      </c>
      <c r="F69" s="1" t="s">
        <v>14</v>
      </c>
      <c r="G69" s="1" t="s">
        <v>26</v>
      </c>
      <c r="H69" s="1">
        <v>0.2107</v>
      </c>
      <c r="I69" s="1" t="s">
        <v>14</v>
      </c>
      <c r="J69" s="1" t="s">
        <v>27</v>
      </c>
      <c r="K69" s="1">
        <v>0.21210000000000001</v>
      </c>
      <c r="L69" s="1" t="s">
        <v>16</v>
      </c>
      <c r="M69" s="1" t="s">
        <v>27</v>
      </c>
      <c r="N69" s="1">
        <v>0.1192</v>
      </c>
      <c r="O69" s="1" t="s">
        <v>16</v>
      </c>
      <c r="P69" s="1" t="s">
        <v>26</v>
      </c>
      <c r="Q69" s="1">
        <v>0.3952</v>
      </c>
      <c r="R69" s="1" t="s">
        <v>14</v>
      </c>
    </row>
    <row r="70" spans="1:18" x14ac:dyDescent="0.2">
      <c r="A70" s="1" t="s">
        <v>26</v>
      </c>
      <c r="B70" s="1">
        <v>16.761900000000001</v>
      </c>
      <c r="C70" s="1" t="s">
        <v>14</v>
      </c>
      <c r="D70" s="1" t="s">
        <v>27</v>
      </c>
      <c r="E70" s="1">
        <v>1.0720000000000001</v>
      </c>
      <c r="F70" s="1" t="s">
        <v>14</v>
      </c>
      <c r="G70" s="1" t="s">
        <v>27</v>
      </c>
      <c r="H70" s="1">
        <v>0.84750000000000003</v>
      </c>
      <c r="I70" s="1" t="s">
        <v>14</v>
      </c>
      <c r="J70" s="1" t="s">
        <v>18</v>
      </c>
      <c r="K70" s="1">
        <v>0.26329999999999998</v>
      </c>
      <c r="L70" s="1" t="s">
        <v>16</v>
      </c>
      <c r="M70" s="1" t="s">
        <v>18</v>
      </c>
      <c r="N70" s="1">
        <v>0.50149999999999995</v>
      </c>
      <c r="O70" s="1" t="s">
        <v>16</v>
      </c>
      <c r="P70" s="1" t="s">
        <v>27</v>
      </c>
      <c r="Q70" s="1">
        <v>2.2686999999999999</v>
      </c>
      <c r="R70" s="1" t="s">
        <v>14</v>
      </c>
    </row>
    <row r="71" spans="1:18" x14ac:dyDescent="0.2">
      <c r="A71" s="1" t="s">
        <v>28</v>
      </c>
      <c r="B71" s="1">
        <v>3.4632999999999998</v>
      </c>
      <c r="C71" s="1" t="s">
        <v>14</v>
      </c>
      <c r="D71" s="1" t="s">
        <v>18</v>
      </c>
      <c r="E71" s="1">
        <v>2.6589</v>
      </c>
      <c r="F71" s="1" t="s">
        <v>14</v>
      </c>
      <c r="G71" s="1" t="s">
        <v>18</v>
      </c>
      <c r="H71" s="1">
        <v>2.0142000000000002</v>
      </c>
      <c r="I71" s="1" t="s">
        <v>14</v>
      </c>
      <c r="J71" s="1" t="s">
        <v>24</v>
      </c>
      <c r="K71" s="1">
        <v>8.9741999999999997</v>
      </c>
      <c r="L71" s="1" t="s">
        <v>14</v>
      </c>
      <c r="M71" s="1" t="s">
        <v>24</v>
      </c>
      <c r="N71" s="1">
        <v>10.032999999999999</v>
      </c>
      <c r="O71" s="1" t="s">
        <v>14</v>
      </c>
      <c r="P71" s="1" t="s">
        <v>18</v>
      </c>
      <c r="Q71" s="1">
        <v>3.9260000000000002</v>
      </c>
      <c r="R71" s="1" t="s">
        <v>14</v>
      </c>
    </row>
    <row r="72" spans="1:18" x14ac:dyDescent="0.2">
      <c r="A72" s="1" t="s">
        <v>27</v>
      </c>
      <c r="B72" s="1">
        <v>0.19639999999999999</v>
      </c>
      <c r="C72" s="1" t="s">
        <v>16</v>
      </c>
      <c r="D72" s="1" t="s">
        <v>24</v>
      </c>
      <c r="E72" s="1">
        <v>53.671300000000002</v>
      </c>
      <c r="F72" s="1" t="s">
        <v>71</v>
      </c>
      <c r="G72" s="1" t="s">
        <v>24</v>
      </c>
      <c r="H72" s="1">
        <v>40.707000000000001</v>
      </c>
      <c r="I72" s="1" t="s">
        <v>71</v>
      </c>
      <c r="J72" s="1" t="s">
        <v>13</v>
      </c>
      <c r="K72" s="1">
        <v>0.98460000000000003</v>
      </c>
      <c r="L72" s="1" t="s">
        <v>14</v>
      </c>
      <c r="M72" s="1" t="s">
        <v>13</v>
      </c>
      <c r="N72" s="1">
        <v>0.80259999999999998</v>
      </c>
      <c r="O72" s="1" t="s">
        <v>14</v>
      </c>
      <c r="P72" s="1" t="s">
        <v>24</v>
      </c>
      <c r="Q72" s="1">
        <v>91.529899999999998</v>
      </c>
      <c r="R72" s="1" t="s">
        <v>71</v>
      </c>
    </row>
    <row r="73" spans="1:18" x14ac:dyDescent="0.2">
      <c r="A73" s="1" t="s">
        <v>22</v>
      </c>
      <c r="B73" s="1">
        <v>17.954799999999999</v>
      </c>
      <c r="C73" s="1" t="s">
        <v>14</v>
      </c>
      <c r="D73" s="1" t="s">
        <v>13</v>
      </c>
      <c r="E73" s="1">
        <v>31.950299999999999</v>
      </c>
      <c r="F73" s="1" t="s">
        <v>71</v>
      </c>
      <c r="G73" s="1" t="s">
        <v>13</v>
      </c>
      <c r="H73" s="1">
        <v>25.331600000000002</v>
      </c>
      <c r="I73" s="1" t="s">
        <v>71</v>
      </c>
      <c r="J73" s="1" t="s">
        <v>28</v>
      </c>
      <c r="K73" s="1">
        <v>5.6151999999999997</v>
      </c>
      <c r="L73" s="1" t="s">
        <v>14</v>
      </c>
      <c r="M73" s="1" t="s">
        <v>28</v>
      </c>
      <c r="N73" s="1">
        <v>3.4051</v>
      </c>
      <c r="O73" s="1" t="s">
        <v>14</v>
      </c>
      <c r="P73" s="1" t="s">
        <v>13</v>
      </c>
      <c r="Q73" s="1">
        <v>43.436599999999999</v>
      </c>
      <c r="R73" s="1" t="s">
        <v>71</v>
      </c>
    </row>
    <row r="74" spans="1:18" x14ac:dyDescent="0.2">
      <c r="A74" s="1" t="s">
        <v>29</v>
      </c>
      <c r="D74" s="1" t="s">
        <v>28</v>
      </c>
      <c r="E74" s="1">
        <v>57.657800000000002</v>
      </c>
      <c r="F74" s="1" t="s">
        <v>71</v>
      </c>
      <c r="G74" s="1" t="s">
        <v>28</v>
      </c>
      <c r="H74" s="1">
        <v>45.929699999999997</v>
      </c>
      <c r="I74" s="1" t="s">
        <v>71</v>
      </c>
      <c r="J74" s="1" t="s">
        <v>29</v>
      </c>
      <c r="M74" s="1" t="s">
        <v>29</v>
      </c>
      <c r="P74" s="1" t="s">
        <v>28</v>
      </c>
      <c r="Q74" s="1">
        <v>0.1031</v>
      </c>
      <c r="R74" s="1" t="s">
        <v>14</v>
      </c>
    </row>
    <row r="75" spans="1:18" x14ac:dyDescent="0.2">
      <c r="A75" s="1" t="s">
        <v>30</v>
      </c>
      <c r="B75" s="1">
        <v>0.26350000000000001</v>
      </c>
      <c r="C75" s="1" t="s">
        <v>17</v>
      </c>
      <c r="D75" s="1" t="s">
        <v>29</v>
      </c>
      <c r="G75" s="1" t="s">
        <v>29</v>
      </c>
      <c r="J75" s="1" t="s">
        <v>30</v>
      </c>
      <c r="K75" s="1">
        <v>0.37980000000000003</v>
      </c>
      <c r="L75" s="1" t="s">
        <v>17</v>
      </c>
      <c r="M75" s="1" t="s">
        <v>30</v>
      </c>
      <c r="N75" s="1">
        <v>0.23769999999999999</v>
      </c>
      <c r="O75" s="1" t="s">
        <v>17</v>
      </c>
      <c r="P75" s="1" t="s">
        <v>29</v>
      </c>
    </row>
    <row r="76" spans="1:18" x14ac:dyDescent="0.2">
      <c r="A76" s="1" t="s">
        <v>31</v>
      </c>
      <c r="B76" s="1">
        <v>0.26919999999999999</v>
      </c>
      <c r="C76" s="1" t="s">
        <v>17</v>
      </c>
      <c r="D76" s="1" t="s">
        <v>30</v>
      </c>
      <c r="E76" s="1">
        <v>3.4849999999999999</v>
      </c>
      <c r="F76" s="1" t="s">
        <v>16</v>
      </c>
      <c r="G76" s="1" t="s">
        <v>30</v>
      </c>
      <c r="H76" s="1">
        <v>2.7986</v>
      </c>
      <c r="I76" s="1" t="s">
        <v>16</v>
      </c>
      <c r="J76" s="1" t="s">
        <v>31</v>
      </c>
      <c r="K76" s="1">
        <v>0.39369999999999999</v>
      </c>
      <c r="L76" s="1" t="s">
        <v>17</v>
      </c>
      <c r="M76" s="1" t="s">
        <v>31</v>
      </c>
      <c r="N76" s="1">
        <v>0.2641</v>
      </c>
      <c r="O76" s="1" t="s">
        <v>17</v>
      </c>
      <c r="P76" s="1" t="s">
        <v>30</v>
      </c>
      <c r="Q76" s="1">
        <v>4.7603999999999997</v>
      </c>
      <c r="R76" s="1" t="s">
        <v>16</v>
      </c>
    </row>
    <row r="77" spans="1:18" x14ac:dyDescent="0.2">
      <c r="D77" s="1" t="s">
        <v>31</v>
      </c>
      <c r="E77" s="1">
        <v>3.6252</v>
      </c>
      <c r="F77" s="1" t="s">
        <v>16</v>
      </c>
      <c r="G77" s="1" t="s">
        <v>31</v>
      </c>
      <c r="H77" s="1">
        <v>2.9047000000000001</v>
      </c>
      <c r="I77" s="1" t="s">
        <v>16</v>
      </c>
      <c r="P77" s="1" t="s">
        <v>31</v>
      </c>
      <c r="Q77" s="1">
        <v>4.9672999999999998</v>
      </c>
      <c r="R77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2024-03-19T06:17:10Z</dcterms:created>
  <dcterms:modified xsi:type="dcterms:W3CDTF">2025-01-28T04:31:30Z</dcterms:modified>
</cp:coreProperties>
</file>