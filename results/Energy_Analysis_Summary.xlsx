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R6cFXsVMRuO/q320FGrLjp+M4z1DiyL9c+GyW67a8w="/>
    </ext>
  </extLst>
</workbook>
</file>

<file path=xl/sharedStrings.xml><?xml version="1.0" encoding="utf-8"?>
<sst xmlns="http://schemas.openxmlformats.org/spreadsheetml/2006/main" count="24" uniqueCount="24">
  <si>
    <t>State</t>
  </si>
  <si>
    <t>Diesel (L/1000kg)</t>
  </si>
  <si>
    <t>Electricity (kWh/1000kg)</t>
  </si>
  <si>
    <t>Current Rate</t>
  </si>
  <si>
    <t>State-specific EF (kg CO2-eq/kWh)</t>
  </si>
  <si>
    <t>Energy Factor(MJ/kWh)</t>
  </si>
  <si>
    <t>Water Factor(L/kWh)</t>
  </si>
  <si>
    <t>AL</t>
  </si>
  <si>
    <t>AZ</t>
  </si>
  <si>
    <t>AR</t>
  </si>
  <si>
    <t>CA</t>
  </si>
  <si>
    <t>FL</t>
  </si>
  <si>
    <t>GA</t>
  </si>
  <si>
    <t>KS</t>
  </si>
  <si>
    <t>LA</t>
  </si>
  <si>
    <t>MS</t>
  </si>
  <si>
    <t>MO</t>
  </si>
  <si>
    <t>NC</t>
  </si>
  <si>
    <t>NM</t>
  </si>
  <si>
    <t>OK</t>
  </si>
  <si>
    <t>SC</t>
  </si>
  <si>
    <t>TN</t>
  </si>
  <si>
    <t>TX</t>
  </si>
  <si>
    <t>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</si>
</sst>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3" width="16.86"/>
    <col customWidth="1" min="4" max="4" width="18.57"/>
    <col customWidth="1" min="5" max="5" width="29.29"/>
    <col customWidth="1" min="6" max="6" width="21.86"/>
    <col customWidth="1" min="7" max="7" width="19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>
        <v>33.7</v>
      </c>
      <c r="C2" s="3">
        <v>414.1</v>
      </c>
      <c r="D2" s="3">
        <v>-7.8</v>
      </c>
      <c r="E2" s="2">
        <f>126727/293.07/1000</f>
        <v>0.4324120517</v>
      </c>
      <c r="F2" s="3">
        <f>2042826*0.00106/293.07</f>
        <v>7.388663323</v>
      </c>
      <c r="G2" s="3">
        <f>189.343*3.785/293.07</f>
        <v>2.445365459</v>
      </c>
    </row>
    <row r="3">
      <c r="A3" s="3" t="s">
        <v>8</v>
      </c>
      <c r="B3" s="3">
        <v>95.6</v>
      </c>
      <c r="C3" s="3">
        <v>1101.1</v>
      </c>
      <c r="D3" s="3">
        <v>-11.3</v>
      </c>
      <c r="E3" s="2">
        <f>141271/293.07/1000</f>
        <v>0.4820384209</v>
      </c>
      <c r="F3" s="3">
        <f>2053129*0.00106/293.07</f>
        <v>7.425928072</v>
      </c>
      <c r="G3" s="3">
        <f>189.731*3.785/293.07</f>
        <v>2.45037648</v>
      </c>
    </row>
    <row r="4">
      <c r="A4" s="3" t="s">
        <v>9</v>
      </c>
      <c r="B4" s="3">
        <v>71.0</v>
      </c>
      <c r="C4" s="3">
        <v>490.4</v>
      </c>
      <c r="D4" s="3">
        <v>-12.6</v>
      </c>
      <c r="E4" s="2">
        <f>177010/293.07/1000</f>
        <v>0.603985396</v>
      </c>
      <c r="F4" s="3">
        <f>2315929*0.00106/293.07</f>
        <v>8.376445013</v>
      </c>
      <c r="G4" s="3">
        <f>173.671*3.785/293.07</f>
        <v>2.242961528</v>
      </c>
    </row>
    <row r="5">
      <c r="A5" s="3" t="s">
        <v>10</v>
      </c>
      <c r="B5" s="3">
        <v>94.9</v>
      </c>
      <c r="C5" s="3">
        <v>574.3</v>
      </c>
      <c r="D5" s="3">
        <v>-4.6</v>
      </c>
      <c r="E5" s="2">
        <f>74127/293.07/1000</f>
        <v>0.2529327464</v>
      </c>
      <c r="F5" s="3">
        <f>1751558*0.00106/293.07</f>
        <v>6.335180947</v>
      </c>
      <c r="G5" s="3">
        <f>346.88*3.785/293.07</f>
        <v>4.479956324</v>
      </c>
    </row>
    <row r="6">
      <c r="A6" s="3" t="s">
        <v>11</v>
      </c>
      <c r="B6" s="3">
        <v>110.2</v>
      </c>
      <c r="C6" s="3">
        <v>463.1</v>
      </c>
      <c r="D6" s="3">
        <v>-5.7</v>
      </c>
      <c r="E6" s="2">
        <f>156132/293.07/1000</f>
        <v>0.5327464428</v>
      </c>
      <c r="F6" s="3">
        <f>2368074*0.00106/293.07</f>
        <v>8.565047395</v>
      </c>
      <c r="G6" s="3">
        <f>83.229*3.785/293.07</f>
        <v>1.074902805</v>
      </c>
    </row>
    <row r="7">
      <c r="A7" s="3" t="s">
        <v>12</v>
      </c>
      <c r="B7" s="3">
        <v>56.4</v>
      </c>
      <c r="C7" s="3">
        <v>741.2</v>
      </c>
      <c r="D7" s="3">
        <v>-9.1</v>
      </c>
      <c r="E7" s="2">
        <f>143526/293.07/1000</f>
        <v>0.4897328283</v>
      </c>
      <c r="F7" s="3">
        <f>2167974*0.00106/293.07</f>
        <v>7.841309039</v>
      </c>
      <c r="G7" s="3">
        <f>124.575*3.785/293.07</f>
        <v>1.608886529</v>
      </c>
    </row>
    <row r="8">
      <c r="A8" s="3" t="s">
        <v>13</v>
      </c>
      <c r="B8" s="3">
        <v>101.3</v>
      </c>
      <c r="C8" s="3">
        <v>1172.8</v>
      </c>
      <c r="D8" s="3">
        <v>-7.3</v>
      </c>
      <c r="E8" s="2">
        <f>138647/293.07/1000</f>
        <v>0.4730849285</v>
      </c>
      <c r="F8" s="3">
        <f>1978661*0.00106/293.07</f>
        <v>7.156586003</v>
      </c>
      <c r="G8" s="3">
        <f>84.625*3.785/293.07</f>
        <v>1.092932149</v>
      </c>
    </row>
    <row r="9">
      <c r="A9" s="3" t="s">
        <v>14</v>
      </c>
      <c r="B9" s="3">
        <v>82.4</v>
      </c>
      <c r="C9" s="3">
        <v>523.5</v>
      </c>
      <c r="D9" s="3">
        <v>-12.6</v>
      </c>
      <c r="E9" s="2">
        <f>168655/293.07/1000</f>
        <v>0.5754768485</v>
      </c>
      <c r="F9" s="3">
        <f>2545956*0.00106/293.07</f>
        <v>9.208425837</v>
      </c>
      <c r="G9" s="3">
        <f>101.84*3.785/293.07</f>
        <v>1.31526393</v>
      </c>
    </row>
    <row r="10">
      <c r="A10" s="3" t="s">
        <v>15</v>
      </c>
      <c r="B10" s="3">
        <v>77.5</v>
      </c>
      <c r="C10" s="3">
        <v>465.7</v>
      </c>
      <c r="D10" s="3">
        <v>-12.5</v>
      </c>
      <c r="E10" s="2">
        <f>145488/293.07/1000</f>
        <v>0.4964274747</v>
      </c>
      <c r="F10" s="3">
        <f>2319165*0.00106/293.07</f>
        <v>8.388149248</v>
      </c>
      <c r="G10" s="3">
        <f>76.104*3.785/293.07</f>
        <v>0.9828834067</v>
      </c>
    </row>
    <row r="11">
      <c r="A11" s="3" t="s">
        <v>16</v>
      </c>
      <c r="B11" s="3">
        <v>93.8</v>
      </c>
      <c r="C11" s="3">
        <v>746.2</v>
      </c>
      <c r="D11" s="3">
        <v>-8.3</v>
      </c>
      <c r="E11" s="2">
        <f>264000/293.07/1000</f>
        <v>0.9008086805</v>
      </c>
      <c r="F11" s="3">
        <f>2728263*0.00106/293.07</f>
        <v>9.867808988</v>
      </c>
      <c r="G11" s="3">
        <f>147.932*3.785/293.07</f>
        <v>1.91054226</v>
      </c>
    </row>
    <row r="12">
      <c r="A12" s="3" t="s">
        <v>17</v>
      </c>
      <c r="B12" s="3">
        <v>75.5</v>
      </c>
      <c r="C12" s="3">
        <v>994.9</v>
      </c>
      <c r="D12" s="3">
        <v>-10.0</v>
      </c>
      <c r="E12" s="2">
        <f>130240/293.07/1000</f>
        <v>0.4443989491</v>
      </c>
      <c r="F12" s="3">
        <f>2010853*0.00106/293.07</f>
        <v>7.273020712</v>
      </c>
      <c r="G12" s="3">
        <f>142.953*3.785/293.07</f>
        <v>1.846238458</v>
      </c>
    </row>
    <row r="13">
      <c r="A13" s="3" t="s">
        <v>18</v>
      </c>
      <c r="B13" s="3">
        <v>199.9</v>
      </c>
      <c r="C13" s="3">
        <v>2082.1</v>
      </c>
      <c r="D13" s="3">
        <v>-7.4</v>
      </c>
      <c r="E13" s="2">
        <f>230785/293.07/1000</f>
        <v>0.7874739823</v>
      </c>
      <c r="F13" s="3">
        <f>2659887*0.00106/293.07</f>
        <v>9.620500972</v>
      </c>
      <c r="G13" s="3">
        <f>102.043*3.785/293.07</f>
        <v>1.317885676</v>
      </c>
    </row>
    <row r="14">
      <c r="A14" s="3" t="s">
        <v>19</v>
      </c>
      <c r="B14" s="3">
        <v>114.3</v>
      </c>
      <c r="C14" s="3">
        <v>1214.6</v>
      </c>
      <c r="D14" s="3">
        <v>-5.0</v>
      </c>
      <c r="E14" s="2">
        <f>143896/293.07/1000</f>
        <v>0.4909953253</v>
      </c>
      <c r="F14" s="3">
        <f>2128681*0.00106/293.07</f>
        <v>7.699190842</v>
      </c>
      <c r="G14" s="3">
        <f>95.797*3.785/293.07</f>
        <v>1.237218566</v>
      </c>
    </row>
    <row r="15">
      <c r="A15" s="3" t="s">
        <v>20</v>
      </c>
      <c r="B15" s="3">
        <v>65.2</v>
      </c>
      <c r="C15" s="3">
        <v>729.8</v>
      </c>
      <c r="D15" s="3">
        <v>-9.6</v>
      </c>
      <c r="E15" s="2">
        <f>92696/293.07/1000</f>
        <v>0.3162930358</v>
      </c>
      <c r="F15" s="3">
        <f>1802663*0.00106/293.07</f>
        <v>6.52002177</v>
      </c>
      <c r="G15" s="3">
        <f>147.399*3.785/293.07</f>
        <v>1.903658563</v>
      </c>
    </row>
    <row r="16">
      <c r="A16" s="3" t="s">
        <v>21</v>
      </c>
      <c r="B16" s="3">
        <v>26.1</v>
      </c>
      <c r="C16" s="3">
        <v>423.7</v>
      </c>
      <c r="D16" s="3">
        <v>-8.5</v>
      </c>
      <c r="E16" s="2">
        <f>134001/293.07/1000</f>
        <v>0.4572320606</v>
      </c>
      <c r="F16" s="3">
        <f>2001289*0.00106/293.07</f>
        <v>7.23842884</v>
      </c>
      <c r="G16" s="3">
        <f>263.116*3.785/293.07</f>
        <v>3.398143993</v>
      </c>
    </row>
    <row r="17">
      <c r="A17" s="3" t="s">
        <v>22</v>
      </c>
      <c r="B17" s="3">
        <v>189.2</v>
      </c>
      <c r="C17" s="3">
        <v>1191.7</v>
      </c>
      <c r="D17" s="3">
        <v>-5.4</v>
      </c>
      <c r="E17" s="2">
        <f>172847/293.07/1000</f>
        <v>0.5897805985</v>
      </c>
      <c r="F17" s="3">
        <f>2348803*0.00106/293.07</f>
        <v>8.495346436</v>
      </c>
      <c r="G17" s="3">
        <f>81.433*3.785/293.07</f>
        <v>1.051707459</v>
      </c>
    </row>
    <row r="18">
      <c r="A18" s="3" t="s">
        <v>23</v>
      </c>
      <c r="B18" s="3">
        <v>48.7</v>
      </c>
      <c r="C18" s="3">
        <v>677.9</v>
      </c>
      <c r="D18" s="3">
        <v>-10.3</v>
      </c>
      <c r="E18" s="2">
        <f>114541/293.07/1000</f>
        <v>0.390831542</v>
      </c>
      <c r="F18" s="3">
        <f>2050527*0.00106/293.07</f>
        <v>7.416516941</v>
      </c>
      <c r="G18" s="3">
        <f>111.496*3.785/293.07</f>
        <v>1.439971201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2025-05-24T23:42:06Z</dcterms:created>
  <dc:creator>openpyxl</dc:creator>
</cp:coreProperties>
</file>