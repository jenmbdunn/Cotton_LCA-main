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xiao/Downloads/cotton_new_data/"/>
    </mc:Choice>
  </mc:AlternateContent>
  <xr:revisionPtr revIDLastSave="0" documentId="13_ncr:1_{C5ACF23F-7C9C-844A-B8D5-BD9438B698CB}" xr6:coauthVersionLast="47" xr6:coauthVersionMax="47" xr10:uidLastSave="{00000000-0000-0000-0000-000000000000}"/>
  <bookViews>
    <workbookView xWindow="240" yWindow="560" windowWidth="28040" windowHeight="16180" xr2:uid="{B294E19E-0E9C-BF4F-9BD8-F8AED87ACEDC}"/>
  </bookViews>
  <sheets>
    <sheet name="total cost" sheetId="6" r:id="rId1"/>
    <sheet name="total cost_fill missing data" sheetId="1" r:id="rId2"/>
    <sheet name="eletricity price" sheetId="2" r:id="rId3"/>
    <sheet name="diesel price" sheetId="3" r:id="rId4"/>
    <sheet name="diesel tax" sheetId="4" r:id="rId5"/>
  </sheets>
  <definedNames>
    <definedName name="_xlnm._FilterDatabase" localSheetId="1" hidden="1">'total cost_fill missing data'!$G$1:$G$26</definedName>
  </definedNames>
  <calcPr calcId="191029" iterate="1" iterateDelta="1.0000000000000001E-5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4" i="1"/>
  <c r="G23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tc={B043E7D7-839A-6F42-AD31-B3D2E47C3787}</author>
  </authors>
  <commentList>
    <comment ref="G2" authorId="0" shapeId="0" xr:uid="{B043E7D7-839A-6F42-AD31-B3D2E47C3787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were filled using multi-linear regression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tc={5642C4E0-97C6-FA47-8A92-8CE19EE76B40}</author>
  </authors>
  <commentList>
    <comment ref="A25" authorId="0" shapeId="0" xr:uid="{5642C4E0-97C6-FA47-8A92-8CE19EE7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data of 2001 to fill the missing data of 2000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tc={A6F8C5FB-E737-FF4C-8ABD-904AB4084CAF}</author>
  </authors>
  <commentList>
    <comment ref="A4" authorId="0" shapeId="0" xr:uid="{A6F8C5FB-E737-FF4C-8ABD-904AB4084CA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the values that same as 2020</t>
      </text>
    </comment>
  </commentList>
</comments>
</file>

<file path=xl/sharedStrings.xml><?xml version="1.0" encoding="utf-8"?>
<sst xmlns="http://schemas.openxmlformats.org/spreadsheetml/2006/main" count="174" uniqueCount="161">
  <si>
    <t>prairie gateway</t>
  </si>
  <si>
    <t>mississippi portal</t>
  </si>
  <si>
    <t>heartland</t>
  </si>
  <si>
    <t>fruitful rim</t>
  </si>
  <si>
    <t>eastern upland</t>
  </si>
  <si>
    <t>Year(Fuel, lube, and electricity)</t>
  </si>
  <si>
    <t>southern seaboard</t>
  </si>
  <si>
    <t>year (state tax)</t>
  </si>
  <si>
    <t>New England cents per kilowatthour</t>
  </si>
  <si>
    <t>Connecticut cents per kilowatthour</t>
  </si>
  <si>
    <t>Maine cents per kilowatthour</t>
  </si>
  <si>
    <t>Massachusetts cents per kilowatthour</t>
  </si>
  <si>
    <t>New Hampshire cents per kilowatthour</t>
  </si>
  <si>
    <t>Rhode Island cents per kilowatthour</t>
  </si>
  <si>
    <t>Vermont cents per kilowatthour</t>
  </si>
  <si>
    <t>Middle Atlantic cents per kilowatthour</t>
  </si>
  <si>
    <t>New Jersey cents per kilowatthour</t>
  </si>
  <si>
    <t>New York cents per kilowatthour</t>
  </si>
  <si>
    <t>Pennsylvania cents per kilowatthour</t>
  </si>
  <si>
    <t>East North Central cents per kilowatthour</t>
  </si>
  <si>
    <t>Illinois cents per kilowatthour</t>
  </si>
  <si>
    <t>Indiana cents per kilowatthour</t>
  </si>
  <si>
    <t>Michigan cents per kilowatthour</t>
  </si>
  <si>
    <t>Ohio cents per kilowatthour</t>
  </si>
  <si>
    <t>Wisconsin cents per kilowatthour</t>
  </si>
  <si>
    <t>West North Central cents per kilowatthour</t>
  </si>
  <si>
    <t>Iowa cents per kilowatthour</t>
  </si>
  <si>
    <t>Kansas cents per kilowatthour</t>
  </si>
  <si>
    <t>Minnesota cents per kilowatthour</t>
  </si>
  <si>
    <t>Missouri cents per kilowatthour</t>
  </si>
  <si>
    <t>Nebraska cents per kilowatthour</t>
  </si>
  <si>
    <t>North Dakota cents per kilowatthour</t>
  </si>
  <si>
    <t>South Dakota cents per kilowatthour</t>
  </si>
  <si>
    <t>South Atlantic cents per kilowatthour</t>
  </si>
  <si>
    <t>Delaware cents per kilowatthour</t>
  </si>
  <si>
    <t>District Of Columbia cents per kilowatthour</t>
  </si>
  <si>
    <t>Florida cents per kilowatthour</t>
  </si>
  <si>
    <t>Georgia cents per kilowatthour</t>
  </si>
  <si>
    <t>Maryland cents per kilowatthour</t>
  </si>
  <si>
    <t>North Carolina cents per kilowatthour</t>
  </si>
  <si>
    <t>South Carolina cents per kilowatthour</t>
  </si>
  <si>
    <t>Virginia cents per kilowatthour</t>
  </si>
  <si>
    <t>West Virginia cents per kilowatthour</t>
  </si>
  <si>
    <t>East South Central cents per kilowatthour</t>
  </si>
  <si>
    <t>Alabama cents per kilowatthour</t>
  </si>
  <si>
    <t>Kentucky cents per kilowatthour</t>
  </si>
  <si>
    <t>Mississippi cents per kilowatthour</t>
  </si>
  <si>
    <t>Tennessee cents per kilowatthour</t>
  </si>
  <si>
    <t>West South Central cents per kilowatthour</t>
  </si>
  <si>
    <t>Arkansas cents per kilowatthour</t>
  </si>
  <si>
    <t>Louisiana cents per kilowatthour</t>
  </si>
  <si>
    <t>Oklahoma cents per kilowatthour</t>
  </si>
  <si>
    <t>Texas cents per kilowatthour</t>
  </si>
  <si>
    <t>Mountain cents per kilowatthour</t>
  </si>
  <si>
    <t>Arizona cents per kilowatthour</t>
  </si>
  <si>
    <t>Colorado cents per kilowatthour</t>
  </si>
  <si>
    <t>Idaho cents per kilowatthour</t>
  </si>
  <si>
    <t>Montana cents per kilowatthour</t>
  </si>
  <si>
    <t>Nevada cents per kilowatthour</t>
  </si>
  <si>
    <t>New Mexico cents per kilowatthour</t>
  </si>
  <si>
    <t>Utah cents per kilowatthour</t>
  </si>
  <si>
    <t>Wyoming cents per kilowatthour</t>
  </si>
  <si>
    <t>Pacific Contiguous cents per kilowatthour</t>
  </si>
  <si>
    <t>California cents per kilowatthour</t>
  </si>
  <si>
    <t>Oregon cents per kilowatthour</t>
  </si>
  <si>
    <t>Washington cents per kilowatthour</t>
  </si>
  <si>
    <t>Pacific Noncontiguous cents per kilowatthour</t>
  </si>
  <si>
    <t>Alaska cents per kilowatthour</t>
  </si>
  <si>
    <t>Hawaii cents per kilowatthour</t>
  </si>
  <si>
    <t>year (diesel)</t>
  </si>
  <si>
    <t>East Coast No 2 Diesel Retail Prices (Dollars per Gallon)</t>
  </si>
  <si>
    <t>New England (PADD 1A) No 2 Diesel Retail Prices (Dollars per Gallon)</t>
  </si>
  <si>
    <t>Central Atlantic (PADD 1B) No 2 Diesel Retail Prices (Dollars per Gallon)</t>
  </si>
  <si>
    <t>Lower Atlantic (PADD 1C) No 2 Diesel Retail Prices (Dollars per Gallon)</t>
  </si>
  <si>
    <t>Midwest No 2 Diesel Retail Prices (Dollars per Gallon)</t>
  </si>
  <si>
    <t>Gulf Coast No 2 Diesel Retail Prices (Dollars per Gallon)</t>
  </si>
  <si>
    <t>Rocky Mountain No 2 Diesel Retail Prices (Dollars per Gallon)</t>
  </si>
  <si>
    <t>West Coast No 2 Diesel Retail Prices (Dollars per Gallon)</t>
  </si>
  <si>
    <t>West Coast (PADD 5) Except California No 2 Diesel Retail Prices (Dollars per Gallon)</t>
  </si>
  <si>
    <t>California No 2 Diesel Retail Prices (Dollars per Gallon)</t>
  </si>
  <si>
    <t>year (diesel tax)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</si>
  <si>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</si>
  <si>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</si>
  <si>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</si>
  <si>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</si>
  <si>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</si>
  <si>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</si>
  <si>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</si>
  <si>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</si>
  <si>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</si>
  <si>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</si>
  <si>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</si>
  <si>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</si>
  <si>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</si>
  <si>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</si>
  <si>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</si>
  <si>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</si>
  <si>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</si>
  <si>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</si>
  <si>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</si>
  <si>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</si>
  <si>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</si>
  <si>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</si>
  <si>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</si>
  <si>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</si>
  <si>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</si>
  <si>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</si>
  <si>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</si>
  <si>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</si>
  <si>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</si>
  <si>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</si>
  <si>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</si>
  <si>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</si>
  <si>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</si>
  <si>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</si>
  <si>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</si>
  <si>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</si>
  <si>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</si>
  <si>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</si>
  <si>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</si>
  <si>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</si>
  <si>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Dist.of col.</t>
  </si>
  <si>
    <t>New Hampshire</t>
  </si>
  <si>
    <t>New Jersey</t>
  </si>
  <si>
    <t>New Mexico</t>
  </si>
  <si>
    <t>New York</t>
  </si>
  <si>
    <t>North Carolina</t>
  </si>
  <si>
    <t>North Dakota</t>
  </si>
  <si>
    <t>Rhode Island</t>
  </si>
  <si>
    <t>South Carolina</t>
  </si>
  <si>
    <t>South Dakota</t>
  </si>
  <si>
    <t>West Virginia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</si>
  <si>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</si>
  <si>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</si>
  <si>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</si>
  <si>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</si>
  <si>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</si>
  <si>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</si>
  <si>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</si>
  <si>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</si>
  <si>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</si>
  <si>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</si>
  <si>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</si>
  <si>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</si>
  <si>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</si>
  <si>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</si>
  <si>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</si>
  <si>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</si>
  <si>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</si>
  <si>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</si>
  <si>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</si>
  <si>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</si>
  <si>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</si>
  <si>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</si>
  <si>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</si>
  <si>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</si>
  <si>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</si>
  <si>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</si>
  <si>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eastern upland</t>
  </si>
  <si>
    <t>Residuals</t>
  </si>
  <si>
    <t>eastern upland=1.08+0.029*ss+0.185*pg+0.106*mp+0.104*h-0.018*fr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</si>
</sst>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Tahoma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" fontId="0" fillId="0" borderId="1" xfId="0" applyNumberFormat="1" applyBorder="1"/>
    <xf numFmtId="4" fontId="0" fillId="0" borderId="2" xfId="0" applyNumberFormat="1" applyBorder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5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southern seaboard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'total cost_fill missing data'!$B$2:$B$10</c:f>
              <c:numCache>
                <c:formatCode>#,##0.00</c:formatCode>
                <c:ptCount val="9"/>
                <c:pt idx="0">
                  <c:v>49.71</c:v>
                </c:pt>
                <c:pt idx="1">
                  <c:v>56.99</c:v>
                </c:pt>
                <c:pt idx="2">
                  <c:v>40.22</c:v>
                </c:pt>
                <c:pt idx="3">
                  <c:v>30.23</c:v>
                </c:pt>
                <c:pt idx="4">
                  <c:v>34.33</c:v>
                </c:pt>
                <c:pt idx="5">
                  <c:v>39.26</c:v>
                </c:pt>
                <c:pt idx="6">
                  <c:v>37.68</c:v>
                </c:pt>
                <c:pt idx="7">
                  <c:v>32.86</c:v>
                </c:pt>
                <c:pt idx="8">
                  <c:v>37.79</c:v>
                </c:pt>
              </c:numCache>
            </c:numRef>
          </c:xVal>
          <c:yVal>
            <c:numRef>
              <c:f>'total cost_fill missing data'!$L$34:$L$42</c:f>
              <c:numCache>
                <c:formatCode>General</c:formatCode>
                <c:ptCount val="9"/>
                <c:pt idx="0">
                  <c:v>0.136837401384728</c:v>
                </c:pt>
                <c:pt idx="1">
                  <c:v>-2.6697595089306247E-2</c:v>
                </c:pt>
                <c:pt idx="2">
                  <c:v>-9.5378775306610208E-2</c:v>
                </c:pt>
                <c:pt idx="3">
                  <c:v>-0.18437752724831036</c:v>
                </c:pt>
                <c:pt idx="4">
                  <c:v>0.3167634684280678</c:v>
                </c:pt>
                <c:pt idx="5">
                  <c:v>0.13733226443902424</c:v>
                </c:pt>
                <c:pt idx="6">
                  <c:v>-0.28827887003228803</c:v>
                </c:pt>
                <c:pt idx="7">
                  <c:v>-0.57555526028208348</c:v>
                </c:pt>
                <c:pt idx="8">
                  <c:v>0.57935489370674986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63-2040-80D6-1B75D754E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122416"/>
        <c:axId val="1501112800"/>
      </c:scatterChart>
      <c:valAx>
        <c:axId val="183612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southern seaboard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501112800"/>
        <c:crosses val="autoZero"/>
        <c:crossBetween val="midCat"/>
      </c:valAx>
      <c:valAx>
        <c:axId val="1501112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361224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prairie gateway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'total cost_fill missing data'!$C$2:$C$10</c:f>
              <c:numCache>
                <c:formatCode>#,##0.00</c:formatCode>
                <c:ptCount val="9"/>
                <c:pt idx="0">
                  <c:v>43.54</c:v>
                </c:pt>
                <c:pt idx="1">
                  <c:v>50.51</c:v>
                </c:pt>
                <c:pt idx="2">
                  <c:v>34.92</c:v>
                </c:pt>
                <c:pt idx="3">
                  <c:v>26.21</c:v>
                </c:pt>
                <c:pt idx="4">
                  <c:v>30.88</c:v>
                </c:pt>
                <c:pt idx="5">
                  <c:v>42.93</c:v>
                </c:pt>
                <c:pt idx="6">
                  <c:v>42.31</c:v>
                </c:pt>
                <c:pt idx="7">
                  <c:v>37.47</c:v>
                </c:pt>
                <c:pt idx="8">
                  <c:v>42.24</c:v>
                </c:pt>
              </c:numCache>
            </c:numRef>
          </c:xVal>
          <c:yVal>
            <c:numRef>
              <c:f>'total cost_fill missing data'!$L$34:$L$42</c:f>
              <c:numCache>
                <c:formatCode>General</c:formatCode>
                <c:ptCount val="9"/>
                <c:pt idx="0">
                  <c:v>0.136837401384728</c:v>
                </c:pt>
                <c:pt idx="1">
                  <c:v>-2.6697595089306247E-2</c:v>
                </c:pt>
                <c:pt idx="2">
                  <c:v>-9.5378775306610208E-2</c:v>
                </c:pt>
                <c:pt idx="3">
                  <c:v>-0.18437752724831036</c:v>
                </c:pt>
                <c:pt idx="4">
                  <c:v>0.3167634684280678</c:v>
                </c:pt>
                <c:pt idx="5">
                  <c:v>0.13733226443902424</c:v>
                </c:pt>
                <c:pt idx="6">
                  <c:v>-0.28827887003228803</c:v>
                </c:pt>
                <c:pt idx="7">
                  <c:v>-0.57555526028208348</c:v>
                </c:pt>
                <c:pt idx="8">
                  <c:v>0.57935489370674986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3-6146-949E-31F00F34C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0495"/>
        <c:axId val="58848447"/>
      </c:scatterChart>
      <c:valAx>
        <c:axId val="5899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prairie gateway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8848447"/>
        <c:crosses val="autoZero"/>
        <c:crossBetween val="midCat"/>
      </c:valAx>
      <c:valAx>
        <c:axId val="58848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9904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mississippi portal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'total cost_fill missing data'!$D$2:$D$10</c:f>
              <c:numCache>
                <c:formatCode>#,##0.00</c:formatCode>
                <c:ptCount val="9"/>
                <c:pt idx="0">
                  <c:v>59.25</c:v>
                </c:pt>
                <c:pt idx="1">
                  <c:v>68.22</c:v>
                </c:pt>
                <c:pt idx="2">
                  <c:v>46.4</c:v>
                </c:pt>
                <c:pt idx="3">
                  <c:v>34.950000000000003</c:v>
                </c:pt>
                <c:pt idx="4">
                  <c:v>39.31</c:v>
                </c:pt>
                <c:pt idx="5">
                  <c:v>39.619999999999997</c:v>
                </c:pt>
                <c:pt idx="6">
                  <c:v>36.729999999999997</c:v>
                </c:pt>
                <c:pt idx="7">
                  <c:v>32.450000000000003</c:v>
                </c:pt>
                <c:pt idx="8">
                  <c:v>37.130000000000003</c:v>
                </c:pt>
              </c:numCache>
            </c:numRef>
          </c:xVal>
          <c:yVal>
            <c:numRef>
              <c:f>'total cost_fill missing data'!$L$34:$L$42</c:f>
              <c:numCache>
                <c:formatCode>General</c:formatCode>
                <c:ptCount val="9"/>
                <c:pt idx="0">
                  <c:v>0.136837401384728</c:v>
                </c:pt>
                <c:pt idx="1">
                  <c:v>-2.6697595089306247E-2</c:v>
                </c:pt>
                <c:pt idx="2">
                  <c:v>-9.5378775306610208E-2</c:v>
                </c:pt>
                <c:pt idx="3">
                  <c:v>-0.18437752724831036</c:v>
                </c:pt>
                <c:pt idx="4">
                  <c:v>0.3167634684280678</c:v>
                </c:pt>
                <c:pt idx="5">
                  <c:v>0.13733226443902424</c:v>
                </c:pt>
                <c:pt idx="6">
                  <c:v>-0.28827887003228803</c:v>
                </c:pt>
                <c:pt idx="7">
                  <c:v>-0.57555526028208348</c:v>
                </c:pt>
                <c:pt idx="8">
                  <c:v>0.57935489370674986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3E-3C47-A6B5-BA20F473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517695"/>
        <c:axId val="454398623"/>
      </c:scatterChart>
      <c:valAx>
        <c:axId val="45451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mississippi portal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454398623"/>
        <c:crosses val="autoZero"/>
        <c:crossBetween val="midCat"/>
      </c:valAx>
      <c:valAx>
        <c:axId val="454398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4517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heartland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'total cost_fill missing data'!$E$2:$E$10</c:f>
              <c:numCache>
                <c:formatCode>#,##0.00</c:formatCode>
                <c:ptCount val="9"/>
                <c:pt idx="0">
                  <c:v>41.15</c:v>
                </c:pt>
                <c:pt idx="1">
                  <c:v>47.71</c:v>
                </c:pt>
                <c:pt idx="2">
                  <c:v>33.01</c:v>
                </c:pt>
                <c:pt idx="3">
                  <c:v>24.78</c:v>
                </c:pt>
                <c:pt idx="4">
                  <c:v>29.15</c:v>
                </c:pt>
                <c:pt idx="5">
                  <c:v>57.73</c:v>
                </c:pt>
                <c:pt idx="6">
                  <c:v>52.23</c:v>
                </c:pt>
                <c:pt idx="7">
                  <c:v>44.92</c:v>
                </c:pt>
                <c:pt idx="8">
                  <c:v>52.48</c:v>
                </c:pt>
              </c:numCache>
            </c:numRef>
          </c:xVal>
          <c:yVal>
            <c:numRef>
              <c:f>'total cost_fill missing data'!$L$34:$L$42</c:f>
              <c:numCache>
                <c:formatCode>General</c:formatCode>
                <c:ptCount val="9"/>
                <c:pt idx="0">
                  <c:v>0.136837401384728</c:v>
                </c:pt>
                <c:pt idx="1">
                  <c:v>-2.6697595089306247E-2</c:v>
                </c:pt>
                <c:pt idx="2">
                  <c:v>-9.5378775306610208E-2</c:v>
                </c:pt>
                <c:pt idx="3">
                  <c:v>-0.18437752724831036</c:v>
                </c:pt>
                <c:pt idx="4">
                  <c:v>0.3167634684280678</c:v>
                </c:pt>
                <c:pt idx="5">
                  <c:v>0.13733226443902424</c:v>
                </c:pt>
                <c:pt idx="6">
                  <c:v>-0.28827887003228803</c:v>
                </c:pt>
                <c:pt idx="7">
                  <c:v>-0.57555526028208348</c:v>
                </c:pt>
                <c:pt idx="8">
                  <c:v>0.57935489370674986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C-B248-9883-5C3933EF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139616"/>
        <c:axId val="2141877184"/>
      </c:scatterChart>
      <c:valAx>
        <c:axId val="2142139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heartland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141877184"/>
        <c:crosses val="autoZero"/>
        <c:crossBetween val="midCat"/>
      </c:valAx>
      <c:valAx>
        <c:axId val="2141877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21396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fruitful rim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'total cost_fill missing data'!$F$2:$F$10</c:f>
              <c:numCache>
                <c:formatCode>#,##0.00</c:formatCode>
                <c:ptCount val="9"/>
                <c:pt idx="0">
                  <c:v>51.58</c:v>
                </c:pt>
                <c:pt idx="1">
                  <c:v>57.24</c:v>
                </c:pt>
                <c:pt idx="2">
                  <c:v>43.23</c:v>
                </c:pt>
                <c:pt idx="3">
                  <c:v>35.630000000000003</c:v>
                </c:pt>
                <c:pt idx="4">
                  <c:v>47.29</c:v>
                </c:pt>
                <c:pt idx="5">
                  <c:v>80.36</c:v>
                </c:pt>
                <c:pt idx="6">
                  <c:v>76.19</c:v>
                </c:pt>
                <c:pt idx="7">
                  <c:v>67.69</c:v>
                </c:pt>
                <c:pt idx="8">
                  <c:v>79.47</c:v>
                </c:pt>
              </c:numCache>
            </c:numRef>
          </c:xVal>
          <c:yVal>
            <c:numRef>
              <c:f>'total cost_fill missing data'!$L$34:$L$42</c:f>
              <c:numCache>
                <c:formatCode>General</c:formatCode>
                <c:ptCount val="9"/>
                <c:pt idx="0">
                  <c:v>0.136837401384728</c:v>
                </c:pt>
                <c:pt idx="1">
                  <c:v>-2.6697595089306247E-2</c:v>
                </c:pt>
                <c:pt idx="2">
                  <c:v>-9.5378775306610208E-2</c:v>
                </c:pt>
                <c:pt idx="3">
                  <c:v>-0.18437752724831036</c:v>
                </c:pt>
                <c:pt idx="4">
                  <c:v>0.3167634684280678</c:v>
                </c:pt>
                <c:pt idx="5">
                  <c:v>0.13733226443902424</c:v>
                </c:pt>
                <c:pt idx="6">
                  <c:v>-0.28827887003228803</c:v>
                </c:pt>
                <c:pt idx="7">
                  <c:v>-0.57555526028208348</c:v>
                </c:pt>
                <c:pt idx="8">
                  <c:v>0.57935489370674986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3A-4D4F-8B21-A43EE8174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076800"/>
        <c:axId val="2142078528"/>
      </c:scatterChart>
      <c:valAx>
        <c:axId val="21420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fruitful rim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2142078528"/>
        <c:crosses val="autoZero"/>
        <c:crossBetween val="midCat"/>
      </c:valAx>
      <c:valAx>
        <c:axId val="214207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420768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southern seaboard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eastern upland</c:v>
          </c:tx>
          <c:spPr>
            <a:ln w="19050">
              <a:noFill/>
            </a:ln>
          </c:spPr>
          <c:xVal>
            <c:numRef>
              <c:f>'total cost_fill missing data'!$B$2:$B$10</c:f>
              <c:numCache>
                <c:formatCode>#,##0.00</c:formatCode>
                <c:ptCount val="9"/>
                <c:pt idx="0">
                  <c:v>49.71</c:v>
                </c:pt>
                <c:pt idx="1">
                  <c:v>56.99</c:v>
                </c:pt>
                <c:pt idx="2">
                  <c:v>40.22</c:v>
                </c:pt>
                <c:pt idx="3">
                  <c:v>30.23</c:v>
                </c:pt>
                <c:pt idx="4">
                  <c:v>34.33</c:v>
                </c:pt>
                <c:pt idx="5">
                  <c:v>39.26</c:v>
                </c:pt>
                <c:pt idx="6">
                  <c:v>37.68</c:v>
                </c:pt>
                <c:pt idx="7">
                  <c:v>32.86</c:v>
                </c:pt>
                <c:pt idx="8">
                  <c:v>37.79</c:v>
                </c:pt>
              </c:numCache>
            </c:numRef>
          </c:xVal>
          <c:yVal>
            <c:numRef>
              <c:f>'total cost_fill missing data'!$G$2:$G$10</c:f>
              <c:numCache>
                <c:formatCode>#,##0.00</c:formatCode>
                <c:ptCount val="9"/>
                <c:pt idx="0">
                  <c:v>20.14</c:v>
                </c:pt>
                <c:pt idx="1">
                  <c:v>23.33</c:v>
                </c:pt>
                <c:pt idx="2">
                  <c:v>16.149999999999999</c:v>
                </c:pt>
                <c:pt idx="3">
                  <c:v>12.13</c:v>
                </c:pt>
                <c:pt idx="4">
                  <c:v>14.24</c:v>
                </c:pt>
                <c:pt idx="5" formatCode="General">
                  <c:v>18.917749999999998</c:v>
                </c:pt>
                <c:pt idx="6" formatCode="General">
                  <c:v>17.953949999999999</c:v>
                </c:pt>
                <c:pt idx="7" formatCode="General">
                  <c:v>15.857850000000001</c:v>
                </c:pt>
                <c:pt idx="8" formatCode="General">
                  <c:v>17.95355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0-C742-9E22-C7BA094C0DD5}"/>
            </c:ext>
          </c:extLst>
        </c:ser>
        <c:ser>
          <c:idx val="1"/>
          <c:order val="1"/>
          <c:tx>
            <c:v>Predicted eastern upland</c:v>
          </c:tx>
          <c:spPr>
            <a:ln w="19050">
              <a:noFill/>
            </a:ln>
          </c:spPr>
          <c:xVal>
            <c:numRef>
              <c:f>'total cost_fill missing data'!$B$2:$B$10</c:f>
              <c:numCache>
                <c:formatCode>#,##0.00</c:formatCode>
                <c:ptCount val="9"/>
                <c:pt idx="0">
                  <c:v>49.71</c:v>
                </c:pt>
                <c:pt idx="1">
                  <c:v>56.99</c:v>
                </c:pt>
                <c:pt idx="2">
                  <c:v>40.22</c:v>
                </c:pt>
                <c:pt idx="3">
                  <c:v>30.23</c:v>
                </c:pt>
                <c:pt idx="4">
                  <c:v>34.33</c:v>
                </c:pt>
                <c:pt idx="5">
                  <c:v>39.26</c:v>
                </c:pt>
                <c:pt idx="6">
                  <c:v>37.68</c:v>
                </c:pt>
                <c:pt idx="7">
                  <c:v>32.86</c:v>
                </c:pt>
                <c:pt idx="8">
                  <c:v>37.79</c:v>
                </c:pt>
              </c:numCache>
            </c:numRef>
          </c:xVal>
          <c:yVal>
            <c:numRef>
              <c:f>'total cost_fill missing data'!$K$34:$K$42</c:f>
              <c:numCache>
                <c:formatCode>General</c:formatCode>
                <c:ptCount val="9"/>
                <c:pt idx="0">
                  <c:v>23.19316259861527</c:v>
                </c:pt>
                <c:pt idx="1">
                  <c:v>20.166697595089307</c:v>
                </c:pt>
                <c:pt idx="2">
                  <c:v>16.245378775306609</c:v>
                </c:pt>
                <c:pt idx="3">
                  <c:v>14.86437752724831</c:v>
                </c:pt>
                <c:pt idx="4">
                  <c:v>14.333236531571933</c:v>
                </c:pt>
                <c:pt idx="5">
                  <c:v>14.102667735560976</c:v>
                </c:pt>
                <c:pt idx="6">
                  <c:v>12.418278870032289</c:v>
                </c:pt>
                <c:pt idx="7">
                  <c:v>10.785555260282084</c:v>
                </c:pt>
                <c:pt idx="8">
                  <c:v>8.5706451062932505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0-C742-9E22-C7BA094C0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599007"/>
        <c:axId val="592601279"/>
      </c:scatterChart>
      <c:valAx>
        <c:axId val="59259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southern seaboard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92601279"/>
        <c:crosses val="autoZero"/>
        <c:crossBetween val="midCat"/>
      </c:valAx>
      <c:valAx>
        <c:axId val="592601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eastern upland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925990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prairie gateway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eastern upland</c:v>
          </c:tx>
          <c:spPr>
            <a:ln w="19050">
              <a:noFill/>
            </a:ln>
          </c:spPr>
          <c:xVal>
            <c:numRef>
              <c:f>'total cost_fill missing data'!$C$2:$C$10</c:f>
              <c:numCache>
                <c:formatCode>#,##0.00</c:formatCode>
                <c:ptCount val="9"/>
                <c:pt idx="0">
                  <c:v>43.54</c:v>
                </c:pt>
                <c:pt idx="1">
                  <c:v>50.51</c:v>
                </c:pt>
                <c:pt idx="2">
                  <c:v>34.92</c:v>
                </c:pt>
                <c:pt idx="3">
                  <c:v>26.21</c:v>
                </c:pt>
                <c:pt idx="4">
                  <c:v>30.88</c:v>
                </c:pt>
                <c:pt idx="5">
                  <c:v>42.93</c:v>
                </c:pt>
                <c:pt idx="6">
                  <c:v>42.31</c:v>
                </c:pt>
                <c:pt idx="7">
                  <c:v>37.47</c:v>
                </c:pt>
                <c:pt idx="8">
                  <c:v>42.24</c:v>
                </c:pt>
              </c:numCache>
            </c:numRef>
          </c:xVal>
          <c:yVal>
            <c:numRef>
              <c:f>'total cost_fill missing data'!$G$2:$G$10</c:f>
              <c:numCache>
                <c:formatCode>#,##0.00</c:formatCode>
                <c:ptCount val="9"/>
                <c:pt idx="0">
                  <c:v>20.14</c:v>
                </c:pt>
                <c:pt idx="1">
                  <c:v>23.33</c:v>
                </c:pt>
                <c:pt idx="2">
                  <c:v>16.149999999999999</c:v>
                </c:pt>
                <c:pt idx="3">
                  <c:v>12.13</c:v>
                </c:pt>
                <c:pt idx="4">
                  <c:v>14.24</c:v>
                </c:pt>
                <c:pt idx="5" formatCode="General">
                  <c:v>18.917749999999998</c:v>
                </c:pt>
                <c:pt idx="6" formatCode="General">
                  <c:v>17.953949999999999</c:v>
                </c:pt>
                <c:pt idx="7" formatCode="General">
                  <c:v>15.857850000000001</c:v>
                </c:pt>
                <c:pt idx="8" formatCode="General">
                  <c:v>17.95355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EA-394F-9085-1C8E288F1147}"/>
            </c:ext>
          </c:extLst>
        </c:ser>
        <c:ser>
          <c:idx val="1"/>
          <c:order val="1"/>
          <c:tx>
            <c:v>Predicted eastern upland</c:v>
          </c:tx>
          <c:spPr>
            <a:ln w="19050">
              <a:noFill/>
            </a:ln>
          </c:spPr>
          <c:xVal>
            <c:numRef>
              <c:f>'total cost_fill missing data'!$C$2:$C$10</c:f>
              <c:numCache>
                <c:formatCode>#,##0.00</c:formatCode>
                <c:ptCount val="9"/>
                <c:pt idx="0">
                  <c:v>43.54</c:v>
                </c:pt>
                <c:pt idx="1">
                  <c:v>50.51</c:v>
                </c:pt>
                <c:pt idx="2">
                  <c:v>34.92</c:v>
                </c:pt>
                <c:pt idx="3">
                  <c:v>26.21</c:v>
                </c:pt>
                <c:pt idx="4">
                  <c:v>30.88</c:v>
                </c:pt>
                <c:pt idx="5">
                  <c:v>42.93</c:v>
                </c:pt>
                <c:pt idx="6">
                  <c:v>42.31</c:v>
                </c:pt>
                <c:pt idx="7">
                  <c:v>37.47</c:v>
                </c:pt>
                <c:pt idx="8">
                  <c:v>42.24</c:v>
                </c:pt>
              </c:numCache>
            </c:numRef>
          </c:xVal>
          <c:yVal>
            <c:numRef>
              <c:f>'total cost_fill missing data'!$K$34:$K$42</c:f>
              <c:numCache>
                <c:formatCode>General</c:formatCode>
                <c:ptCount val="9"/>
                <c:pt idx="0">
                  <c:v>23.19316259861527</c:v>
                </c:pt>
                <c:pt idx="1">
                  <c:v>20.166697595089307</c:v>
                </c:pt>
                <c:pt idx="2">
                  <c:v>16.245378775306609</c:v>
                </c:pt>
                <c:pt idx="3">
                  <c:v>14.86437752724831</c:v>
                </c:pt>
                <c:pt idx="4">
                  <c:v>14.333236531571933</c:v>
                </c:pt>
                <c:pt idx="5">
                  <c:v>14.102667735560976</c:v>
                </c:pt>
                <c:pt idx="6">
                  <c:v>12.418278870032289</c:v>
                </c:pt>
                <c:pt idx="7">
                  <c:v>10.785555260282084</c:v>
                </c:pt>
                <c:pt idx="8">
                  <c:v>8.5706451062932505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EA-394F-9085-1C8E288F1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84367"/>
        <c:axId val="329095887"/>
      </c:scatterChart>
      <c:valAx>
        <c:axId val="32908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prairie gateway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329095887"/>
        <c:crosses val="autoZero"/>
        <c:crossBetween val="midCat"/>
      </c:valAx>
      <c:valAx>
        <c:axId val="329095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eastern upland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329084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mississippi portal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eastern upland</c:v>
          </c:tx>
          <c:spPr>
            <a:ln w="19050">
              <a:noFill/>
            </a:ln>
          </c:spPr>
          <c:xVal>
            <c:numRef>
              <c:f>'total cost_fill missing data'!$D$2:$D$10</c:f>
              <c:numCache>
                <c:formatCode>#,##0.00</c:formatCode>
                <c:ptCount val="9"/>
                <c:pt idx="0">
                  <c:v>59.25</c:v>
                </c:pt>
                <c:pt idx="1">
                  <c:v>68.22</c:v>
                </c:pt>
                <c:pt idx="2">
                  <c:v>46.4</c:v>
                </c:pt>
                <c:pt idx="3">
                  <c:v>34.950000000000003</c:v>
                </c:pt>
                <c:pt idx="4">
                  <c:v>39.31</c:v>
                </c:pt>
                <c:pt idx="5">
                  <c:v>39.619999999999997</c:v>
                </c:pt>
                <c:pt idx="6">
                  <c:v>36.729999999999997</c:v>
                </c:pt>
                <c:pt idx="7">
                  <c:v>32.450000000000003</c:v>
                </c:pt>
                <c:pt idx="8">
                  <c:v>37.130000000000003</c:v>
                </c:pt>
              </c:numCache>
            </c:numRef>
          </c:xVal>
          <c:yVal>
            <c:numRef>
              <c:f>'total cost_fill missing data'!$G$2:$G$10</c:f>
              <c:numCache>
                <c:formatCode>#,##0.00</c:formatCode>
                <c:ptCount val="9"/>
                <c:pt idx="0">
                  <c:v>20.14</c:v>
                </c:pt>
                <c:pt idx="1">
                  <c:v>23.33</c:v>
                </c:pt>
                <c:pt idx="2">
                  <c:v>16.149999999999999</c:v>
                </c:pt>
                <c:pt idx="3">
                  <c:v>12.13</c:v>
                </c:pt>
                <c:pt idx="4">
                  <c:v>14.24</c:v>
                </c:pt>
                <c:pt idx="5" formatCode="General">
                  <c:v>18.917749999999998</c:v>
                </c:pt>
                <c:pt idx="6" formatCode="General">
                  <c:v>17.953949999999999</c:v>
                </c:pt>
                <c:pt idx="7" formatCode="General">
                  <c:v>15.857850000000001</c:v>
                </c:pt>
                <c:pt idx="8" formatCode="General">
                  <c:v>17.95355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FF-324F-94BD-D40A7E81F79A}"/>
            </c:ext>
          </c:extLst>
        </c:ser>
        <c:ser>
          <c:idx val="1"/>
          <c:order val="1"/>
          <c:tx>
            <c:v>Predicted eastern upland</c:v>
          </c:tx>
          <c:spPr>
            <a:ln w="19050">
              <a:noFill/>
            </a:ln>
          </c:spPr>
          <c:xVal>
            <c:numRef>
              <c:f>'total cost_fill missing data'!$D$2:$D$10</c:f>
              <c:numCache>
                <c:formatCode>#,##0.00</c:formatCode>
                <c:ptCount val="9"/>
                <c:pt idx="0">
                  <c:v>59.25</c:v>
                </c:pt>
                <c:pt idx="1">
                  <c:v>68.22</c:v>
                </c:pt>
                <c:pt idx="2">
                  <c:v>46.4</c:v>
                </c:pt>
                <c:pt idx="3">
                  <c:v>34.950000000000003</c:v>
                </c:pt>
                <c:pt idx="4">
                  <c:v>39.31</c:v>
                </c:pt>
                <c:pt idx="5">
                  <c:v>39.619999999999997</c:v>
                </c:pt>
                <c:pt idx="6">
                  <c:v>36.729999999999997</c:v>
                </c:pt>
                <c:pt idx="7">
                  <c:v>32.450000000000003</c:v>
                </c:pt>
                <c:pt idx="8">
                  <c:v>37.130000000000003</c:v>
                </c:pt>
              </c:numCache>
            </c:numRef>
          </c:xVal>
          <c:yVal>
            <c:numRef>
              <c:f>'total cost_fill missing data'!$K$34:$K$42</c:f>
              <c:numCache>
                <c:formatCode>General</c:formatCode>
                <c:ptCount val="9"/>
                <c:pt idx="0">
                  <c:v>23.19316259861527</c:v>
                </c:pt>
                <c:pt idx="1">
                  <c:v>20.166697595089307</c:v>
                </c:pt>
                <c:pt idx="2">
                  <c:v>16.245378775306609</c:v>
                </c:pt>
                <c:pt idx="3">
                  <c:v>14.86437752724831</c:v>
                </c:pt>
                <c:pt idx="4">
                  <c:v>14.333236531571933</c:v>
                </c:pt>
                <c:pt idx="5">
                  <c:v>14.102667735560976</c:v>
                </c:pt>
                <c:pt idx="6">
                  <c:v>12.418278870032289</c:v>
                </c:pt>
                <c:pt idx="7">
                  <c:v>10.785555260282084</c:v>
                </c:pt>
                <c:pt idx="8">
                  <c:v>8.5706451062932505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FF-324F-94BD-D40A7E81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28543"/>
        <c:axId val="592742719"/>
      </c:scatterChart>
      <c:valAx>
        <c:axId val="592628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mississippi portal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92742719"/>
        <c:crosses val="autoZero"/>
        <c:crossBetween val="midCat"/>
      </c:valAx>
      <c:valAx>
        <c:axId val="592742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eastern upland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5926285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heartland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eastern upland</c:v>
          </c:tx>
          <c:spPr>
            <a:ln w="19050">
              <a:noFill/>
            </a:ln>
          </c:spPr>
          <c:xVal>
            <c:numRef>
              <c:f>'total cost_fill missing data'!$E$2:$E$10</c:f>
              <c:numCache>
                <c:formatCode>#,##0.00</c:formatCode>
                <c:ptCount val="9"/>
                <c:pt idx="0">
                  <c:v>41.15</c:v>
                </c:pt>
                <c:pt idx="1">
                  <c:v>47.71</c:v>
                </c:pt>
                <c:pt idx="2">
                  <c:v>33.01</c:v>
                </c:pt>
                <c:pt idx="3">
                  <c:v>24.78</c:v>
                </c:pt>
                <c:pt idx="4">
                  <c:v>29.15</c:v>
                </c:pt>
                <c:pt idx="5">
                  <c:v>57.73</c:v>
                </c:pt>
                <c:pt idx="6">
                  <c:v>52.23</c:v>
                </c:pt>
                <c:pt idx="7">
                  <c:v>44.92</c:v>
                </c:pt>
                <c:pt idx="8">
                  <c:v>52.48</c:v>
                </c:pt>
              </c:numCache>
            </c:numRef>
          </c:xVal>
          <c:yVal>
            <c:numRef>
              <c:f>'total cost_fill missing data'!$G$2:$G$10</c:f>
              <c:numCache>
                <c:formatCode>#,##0.00</c:formatCode>
                <c:ptCount val="9"/>
                <c:pt idx="0">
                  <c:v>20.14</c:v>
                </c:pt>
                <c:pt idx="1">
                  <c:v>23.33</c:v>
                </c:pt>
                <c:pt idx="2">
                  <c:v>16.149999999999999</c:v>
                </c:pt>
                <c:pt idx="3">
                  <c:v>12.13</c:v>
                </c:pt>
                <c:pt idx="4">
                  <c:v>14.24</c:v>
                </c:pt>
                <c:pt idx="5" formatCode="General">
                  <c:v>18.917749999999998</c:v>
                </c:pt>
                <c:pt idx="6" formatCode="General">
                  <c:v>17.953949999999999</c:v>
                </c:pt>
                <c:pt idx="7" formatCode="General">
                  <c:v>15.857850000000001</c:v>
                </c:pt>
                <c:pt idx="8" formatCode="General">
                  <c:v>17.95355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8B-8F40-86E2-7B7DB205BB8B}"/>
            </c:ext>
          </c:extLst>
        </c:ser>
        <c:ser>
          <c:idx val="1"/>
          <c:order val="1"/>
          <c:tx>
            <c:v>Predicted eastern upland</c:v>
          </c:tx>
          <c:spPr>
            <a:ln w="19050">
              <a:noFill/>
            </a:ln>
          </c:spPr>
          <c:xVal>
            <c:numRef>
              <c:f>'total cost_fill missing data'!$E$2:$E$10</c:f>
              <c:numCache>
                <c:formatCode>#,##0.00</c:formatCode>
                <c:ptCount val="9"/>
                <c:pt idx="0">
                  <c:v>41.15</c:v>
                </c:pt>
                <c:pt idx="1">
                  <c:v>47.71</c:v>
                </c:pt>
                <c:pt idx="2">
                  <c:v>33.01</c:v>
                </c:pt>
                <c:pt idx="3">
                  <c:v>24.78</c:v>
                </c:pt>
                <c:pt idx="4">
                  <c:v>29.15</c:v>
                </c:pt>
                <c:pt idx="5">
                  <c:v>57.73</c:v>
                </c:pt>
                <c:pt idx="6">
                  <c:v>52.23</c:v>
                </c:pt>
                <c:pt idx="7">
                  <c:v>44.92</c:v>
                </c:pt>
                <c:pt idx="8">
                  <c:v>52.48</c:v>
                </c:pt>
              </c:numCache>
            </c:numRef>
          </c:xVal>
          <c:yVal>
            <c:numRef>
              <c:f>'total cost_fill missing data'!$K$34:$K$42</c:f>
              <c:numCache>
                <c:formatCode>General</c:formatCode>
                <c:ptCount val="9"/>
                <c:pt idx="0">
                  <c:v>23.19316259861527</c:v>
                </c:pt>
                <c:pt idx="1">
                  <c:v>20.166697595089307</c:v>
                </c:pt>
                <c:pt idx="2">
                  <c:v>16.245378775306609</c:v>
                </c:pt>
                <c:pt idx="3">
                  <c:v>14.86437752724831</c:v>
                </c:pt>
                <c:pt idx="4">
                  <c:v>14.333236531571933</c:v>
                </c:pt>
                <c:pt idx="5">
                  <c:v>14.102667735560976</c:v>
                </c:pt>
                <c:pt idx="6">
                  <c:v>12.418278870032289</c:v>
                </c:pt>
                <c:pt idx="7">
                  <c:v>10.785555260282084</c:v>
                </c:pt>
                <c:pt idx="8">
                  <c:v>8.5706451062932505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8B-8F40-86E2-7B7DB205B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466095"/>
        <c:axId val="328825375"/>
      </c:scatterChart>
      <c:valAx>
        <c:axId val="32846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heartland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328825375"/>
        <c:crosses val="autoZero"/>
        <c:crossBetween val="midCat"/>
      </c:valAx>
      <c:valAx>
        <c:axId val="3288253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eastern upland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328466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eastern upland</c:v>
          </c:tx>
          <c:spPr>
            <a:ln w="19050">
              <a:noFill/>
            </a:ln>
          </c:spPr>
          <c:xVal>
            <c:numRef>
              <c:f>'total cost_fill missing data'!$F$2:$F$10</c:f>
              <c:numCache>
                <c:formatCode>#,##0.00</c:formatCode>
                <c:ptCount val="9"/>
                <c:pt idx="0">
                  <c:v>51.58</c:v>
                </c:pt>
                <c:pt idx="1">
                  <c:v>57.24</c:v>
                </c:pt>
                <c:pt idx="2">
                  <c:v>43.23</c:v>
                </c:pt>
                <c:pt idx="3">
                  <c:v>35.630000000000003</c:v>
                </c:pt>
                <c:pt idx="4">
                  <c:v>47.29</c:v>
                </c:pt>
                <c:pt idx="5">
                  <c:v>80.36</c:v>
                </c:pt>
                <c:pt idx="6">
                  <c:v>76.19</c:v>
                </c:pt>
                <c:pt idx="7">
                  <c:v>67.69</c:v>
                </c:pt>
                <c:pt idx="8">
                  <c:v>79.47</c:v>
                </c:pt>
              </c:numCache>
            </c:numRef>
          </c:xVal>
          <c:yVal>
            <c:numRef>
              <c:f>'total cost_fill missing data'!$G$2:$G$10</c:f>
              <c:numCache>
                <c:formatCode>#,##0.00</c:formatCode>
                <c:ptCount val="9"/>
                <c:pt idx="0">
                  <c:v>20.14</c:v>
                </c:pt>
                <c:pt idx="1">
                  <c:v>23.33</c:v>
                </c:pt>
                <c:pt idx="2">
                  <c:v>16.149999999999999</c:v>
                </c:pt>
                <c:pt idx="3">
                  <c:v>12.13</c:v>
                </c:pt>
                <c:pt idx="4">
                  <c:v>14.24</c:v>
                </c:pt>
                <c:pt idx="5" formatCode="General">
                  <c:v>18.917749999999998</c:v>
                </c:pt>
                <c:pt idx="6" formatCode="General">
                  <c:v>17.953949999999999</c:v>
                </c:pt>
                <c:pt idx="7" formatCode="General">
                  <c:v>15.857850000000001</c:v>
                </c:pt>
                <c:pt idx="8" formatCode="General">
                  <c:v>17.95355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E-F147-AB0A-2D4685137EC1}"/>
            </c:ext>
          </c:extLst>
        </c:ser>
        <c:ser>
          <c:idx val="1"/>
          <c:order val="1"/>
          <c:tx>
            <c:v>Predicted eastern upland</c:v>
          </c:tx>
          <c:spPr>
            <a:ln w="19050">
              <a:noFill/>
            </a:ln>
          </c:spPr>
          <c:xVal>
            <c:numRef>
              <c:f>'total cost_fill missing data'!$F$2:$F$10</c:f>
              <c:numCache>
                <c:formatCode>#,##0.00</c:formatCode>
                <c:ptCount val="9"/>
                <c:pt idx="0">
                  <c:v>51.58</c:v>
                </c:pt>
                <c:pt idx="1">
                  <c:v>57.24</c:v>
                </c:pt>
                <c:pt idx="2">
                  <c:v>43.23</c:v>
                </c:pt>
                <c:pt idx="3">
                  <c:v>35.630000000000003</c:v>
                </c:pt>
                <c:pt idx="4">
                  <c:v>47.29</c:v>
                </c:pt>
                <c:pt idx="5">
                  <c:v>80.36</c:v>
                </c:pt>
                <c:pt idx="6">
                  <c:v>76.19</c:v>
                </c:pt>
                <c:pt idx="7">
                  <c:v>67.69</c:v>
                </c:pt>
                <c:pt idx="8">
                  <c:v>79.47</c:v>
                </c:pt>
              </c:numCache>
            </c:numRef>
          </c:xVal>
          <c:yVal>
            <c:numRef>
              <c:f>'total cost_fill missing data'!$K$34:$K$42</c:f>
              <c:numCache>
                <c:formatCode>General</c:formatCode>
                <c:ptCount val="9"/>
                <c:pt idx="0">
                  <c:v>23.19316259861527</c:v>
                </c:pt>
                <c:pt idx="1">
                  <c:v>20.166697595089307</c:v>
                </c:pt>
                <c:pt idx="2">
                  <c:v>16.245378775306609</c:v>
                </c:pt>
                <c:pt idx="3">
                  <c:v>14.86437752724831</c:v>
                </c:pt>
                <c:pt idx="4">
                  <c:v>14.333236531571933</c:v>
                </c:pt>
                <c:pt idx="5">
                  <c:v>14.102667735560976</c:v>
                </c:pt>
                <c:pt idx="6">
                  <c:v>12.418278870032289</c:v>
                </c:pt>
                <c:pt idx="7">
                  <c:v>10.785555260282084</c:v>
                </c:pt>
                <c:pt idx="8">
                  <c:v>8.5706451062932505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E-F147-AB0A-2D4685137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973295"/>
        <c:axId val="592975295"/>
      </c:scatterChart>
      <c:valAx>
        <c:axId val="592973295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crossAx val="592975295"/>
        <c:crosses val="autoZero"/>
        <c:crossBetween val="midCat"/>
      </c:valAx>
      <c:valAx>
        <c:axId val="592975295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crossAx val="592973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279400</xdr:colOff>
      <xdr:row>6</xdr:row>
      <xdr:rowOff>63500</xdr:rowOff>
    </xdr:from>
    <xdr:to>
      <xdr:col>24</xdr:col>
      <xdr:colOff>279400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2845D-D530-AE28-5479-E3C3C20AC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279400</xdr:colOff>
      <xdr:row>8</xdr:row>
      <xdr:rowOff>63500</xdr:rowOff>
    </xdr:from>
    <xdr:to>
      <xdr:col>25</xdr:col>
      <xdr:colOff>279400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94B6BA-CCE8-F805-AE00-FEE26B18F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279400</xdr:colOff>
      <xdr:row>10</xdr:row>
      <xdr:rowOff>63500</xdr:rowOff>
    </xdr:from>
    <xdr:to>
      <xdr:col>26</xdr:col>
      <xdr:colOff>279400</xdr:colOff>
      <xdr:row>20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EAF70-A1FC-9A78-969D-ED77828B2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279400</xdr:colOff>
      <xdr:row>12</xdr:row>
      <xdr:rowOff>63500</xdr:rowOff>
    </xdr:from>
    <xdr:to>
      <xdr:col>27</xdr:col>
      <xdr:colOff>279400</xdr:colOff>
      <xdr:row>22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EAEF79-B406-7206-F5DC-9286602D8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279400</xdr:colOff>
      <xdr:row>14</xdr:row>
      <xdr:rowOff>63500</xdr:rowOff>
    </xdr:from>
    <xdr:to>
      <xdr:col>28</xdr:col>
      <xdr:colOff>279400</xdr:colOff>
      <xdr:row>24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CD8545-FCF1-8F3D-FD26-0BDC139D3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279400</xdr:colOff>
      <xdr:row>16</xdr:row>
      <xdr:rowOff>63500</xdr:rowOff>
    </xdr:from>
    <xdr:to>
      <xdr:col>29</xdr:col>
      <xdr:colOff>279400</xdr:colOff>
      <xdr:row>26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3CED5F-F13B-30EC-5ABC-CD4E506BD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279400</xdr:colOff>
      <xdr:row>18</xdr:row>
      <xdr:rowOff>63500</xdr:rowOff>
    </xdr:from>
    <xdr:to>
      <xdr:col>30</xdr:col>
      <xdr:colOff>279400</xdr:colOff>
      <xdr:row>28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E61E7C-72D2-0023-CFE3-462AFAFCB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279400</xdr:colOff>
      <xdr:row>20</xdr:row>
      <xdr:rowOff>50800</xdr:rowOff>
    </xdr:from>
    <xdr:to>
      <xdr:col>31</xdr:col>
      <xdr:colOff>279400</xdr:colOff>
      <xdr:row>30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3B5D67-3F4F-E91E-17C6-08E4D9D79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279400</xdr:colOff>
      <xdr:row>22</xdr:row>
      <xdr:rowOff>63500</xdr:rowOff>
    </xdr:from>
    <xdr:to>
      <xdr:col>32</xdr:col>
      <xdr:colOff>279400</xdr:colOff>
      <xdr:row>32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8EC6B6-C46C-E51B-54A3-1B772C6B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279400</xdr:colOff>
      <xdr:row>24</xdr:row>
      <xdr:rowOff>63500</xdr:rowOff>
    </xdr:from>
    <xdr:to>
      <xdr:col>33</xdr:col>
      <xdr:colOff>279400</xdr:colOff>
      <xdr:row>34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55E652-9A18-BC29-DCEB-9B0986029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gxiao Zhou" id="{4714B12D-BEB6-5640-B288-E61A67717F2F}" userId="S::kdq4165@ads.northwestern.edu::9bf5b515-7ec7-4ab1-ba37-3d09b30035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5-24T03:30:13.46" personId="{4714B12D-BEB6-5640-B288-E61A67717F2F}" id="{B043E7D7-839A-6F42-AD31-B3D2E47C3787}">
    <text>Missing data were filled using multi-linear regression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5" dT="2025-05-24T03:01:57.51" personId="{4714B12D-BEB6-5640-B288-E61A67717F2F}" id="{5642C4E0-97C6-FA47-8A92-8CE19EE76B40}">
    <text>using data of 2001 to fill the missing data of 2000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" dT="2025-05-23T16:13:17.47" personId="{4714B12D-BEB6-5640-B288-E61A67717F2F}" id="{A6F8C5FB-E737-FF4C-8ABD-904AB4084CAF}">
    <text>Fill the values that same as 2020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74CF-95AF-9348-A089-E01576D92688}">
  <dimension ref="A1:G25"/>
  <sheetViews>
    <sheetView tabSelected="1" workbookViewId="0">
      <selection activeCell="H11" sqref="H11"/>
    </sheetView>
  </sheetViews>
  <sheetFormatPr baseColWidth="10" defaultRowHeight="16" x14ac:dyDescent="0.2"/>
  <sheetData>
    <row r="1" spans="1:7" x14ac:dyDescent="0.2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>
        <v>2023</v>
      </c>
      <c r="B2">
        <v>49.71</v>
      </c>
      <c r="C2">
        <v>43.54</v>
      </c>
      <c r="D2">
        <v>59.25</v>
      </c>
      <c r="E2">
        <v>41.15</v>
      </c>
      <c r="F2">
        <v>51.58</v>
      </c>
      <c r="G2">
        <v>20.14</v>
      </c>
    </row>
    <row r="3" spans="1:7" x14ac:dyDescent="0.2">
      <c r="A3">
        <v>2022</v>
      </c>
      <c r="B3">
        <v>56.99</v>
      </c>
      <c r="C3">
        <v>50.51</v>
      </c>
      <c r="D3">
        <v>68.22</v>
      </c>
      <c r="E3">
        <v>47.71</v>
      </c>
      <c r="F3">
        <v>57.24</v>
      </c>
      <c r="G3">
        <v>23.33</v>
      </c>
    </row>
    <row r="4" spans="1:7" x14ac:dyDescent="0.2">
      <c r="A4">
        <v>2021</v>
      </c>
      <c r="B4">
        <v>40.22</v>
      </c>
      <c r="C4">
        <v>34.92</v>
      </c>
      <c r="D4">
        <v>46.4</v>
      </c>
      <c r="E4">
        <v>33.01</v>
      </c>
      <c r="F4">
        <v>43.23</v>
      </c>
      <c r="G4">
        <v>16.149999999999999</v>
      </c>
    </row>
    <row r="5" spans="1:7" x14ac:dyDescent="0.2">
      <c r="A5">
        <v>2020</v>
      </c>
      <c r="B5">
        <v>30.23</v>
      </c>
      <c r="C5">
        <v>26.21</v>
      </c>
      <c r="D5">
        <v>34.950000000000003</v>
      </c>
      <c r="E5">
        <v>24.78</v>
      </c>
      <c r="F5">
        <v>35.630000000000003</v>
      </c>
      <c r="G5">
        <v>12.13</v>
      </c>
    </row>
    <row r="6" spans="1:7" x14ac:dyDescent="0.2">
      <c r="A6">
        <v>2019</v>
      </c>
      <c r="B6">
        <v>34.33</v>
      </c>
      <c r="C6">
        <v>30.88</v>
      </c>
      <c r="D6">
        <v>39.31</v>
      </c>
      <c r="E6">
        <v>29.15</v>
      </c>
      <c r="F6">
        <v>47.29</v>
      </c>
      <c r="G6">
        <v>14.24</v>
      </c>
    </row>
    <row r="7" spans="1:7" x14ac:dyDescent="0.2">
      <c r="A7">
        <v>2018</v>
      </c>
      <c r="B7">
        <v>39.26</v>
      </c>
      <c r="C7">
        <v>42.93</v>
      </c>
      <c r="D7">
        <v>39.619999999999997</v>
      </c>
      <c r="E7">
        <v>57.73</v>
      </c>
      <c r="F7">
        <v>80.36</v>
      </c>
      <c r="G7">
        <v>18.917749999999998</v>
      </c>
    </row>
    <row r="8" spans="1:7" x14ac:dyDescent="0.2">
      <c r="A8">
        <v>2017</v>
      </c>
      <c r="B8">
        <v>37.68</v>
      </c>
      <c r="C8">
        <v>42.31</v>
      </c>
      <c r="D8">
        <v>36.729999999999997</v>
      </c>
      <c r="E8">
        <v>52.23</v>
      </c>
      <c r="F8">
        <v>76.19</v>
      </c>
      <c r="G8">
        <v>17.953949999999999</v>
      </c>
    </row>
    <row r="9" spans="1:7" x14ac:dyDescent="0.2">
      <c r="A9">
        <v>2016</v>
      </c>
      <c r="B9">
        <v>32.86</v>
      </c>
      <c r="C9">
        <v>37.47</v>
      </c>
      <c r="D9">
        <v>32.450000000000003</v>
      </c>
      <c r="E9">
        <v>44.92</v>
      </c>
      <c r="F9">
        <v>67.69</v>
      </c>
      <c r="G9">
        <v>15.857850000000001</v>
      </c>
    </row>
    <row r="10" spans="1:7" x14ac:dyDescent="0.2">
      <c r="A10">
        <v>2015</v>
      </c>
      <c r="B10">
        <v>37.79</v>
      </c>
      <c r="C10">
        <v>42.24</v>
      </c>
      <c r="D10">
        <v>37.130000000000003</v>
      </c>
      <c r="E10">
        <v>52.48</v>
      </c>
      <c r="F10">
        <v>79.47</v>
      </c>
      <c r="G10">
        <v>17.95355</v>
      </c>
    </row>
    <row r="11" spans="1:7" x14ac:dyDescent="0.2">
      <c r="A11">
        <v>2014</v>
      </c>
      <c r="B11">
        <v>54</v>
      </c>
      <c r="C11">
        <v>64.34</v>
      </c>
      <c r="D11">
        <v>50.4</v>
      </c>
      <c r="E11">
        <v>65.31</v>
      </c>
      <c r="F11">
        <v>117.03</v>
      </c>
      <c r="G11">
        <v>24.577000000000005</v>
      </c>
    </row>
    <row r="12" spans="1:7" x14ac:dyDescent="0.2">
      <c r="A12">
        <v>2013</v>
      </c>
      <c r="B12">
        <v>53.33</v>
      </c>
      <c r="C12">
        <v>63.6</v>
      </c>
      <c r="D12">
        <v>50.67</v>
      </c>
      <c r="E12">
        <v>64.45</v>
      </c>
      <c r="F12">
        <v>117.87</v>
      </c>
      <c r="G12">
        <v>24.344730000000006</v>
      </c>
    </row>
    <row r="13" spans="1:7" x14ac:dyDescent="0.2">
      <c r="A13">
        <v>2012</v>
      </c>
      <c r="B13">
        <v>55.84</v>
      </c>
      <c r="C13">
        <v>63.85</v>
      </c>
      <c r="D13">
        <v>50.17</v>
      </c>
      <c r="E13">
        <v>65.11</v>
      </c>
      <c r="F13">
        <v>118.95</v>
      </c>
      <c r="G13">
        <v>24.459969999999998</v>
      </c>
    </row>
    <row r="14" spans="1:7" x14ac:dyDescent="0.2">
      <c r="A14">
        <v>2011</v>
      </c>
      <c r="B14">
        <v>53.07</v>
      </c>
      <c r="C14">
        <v>62.79</v>
      </c>
      <c r="D14">
        <v>49.63</v>
      </c>
      <c r="E14">
        <v>65.239999999999995</v>
      </c>
      <c r="F14">
        <v>117.65</v>
      </c>
      <c r="G14">
        <v>24.163219999999995</v>
      </c>
    </row>
    <row r="15" spans="1:7" x14ac:dyDescent="0.2">
      <c r="A15">
        <v>2010</v>
      </c>
      <c r="B15">
        <v>42.46</v>
      </c>
      <c r="C15">
        <v>53.51</v>
      </c>
      <c r="D15">
        <v>39.36</v>
      </c>
      <c r="E15">
        <v>52.03</v>
      </c>
      <c r="F15">
        <v>95.28</v>
      </c>
      <c r="G15">
        <v>20.07893</v>
      </c>
    </row>
    <row r="16" spans="1:7" x14ac:dyDescent="0.2">
      <c r="A16">
        <v>2009</v>
      </c>
      <c r="B16">
        <v>34.74</v>
      </c>
      <c r="C16">
        <v>41.39</v>
      </c>
      <c r="D16">
        <v>30.79</v>
      </c>
      <c r="E16">
        <v>40.89</v>
      </c>
      <c r="F16">
        <v>75.13</v>
      </c>
      <c r="G16">
        <v>15.908570000000001</v>
      </c>
    </row>
    <row r="17" spans="1:7" x14ac:dyDescent="0.2">
      <c r="A17">
        <v>2008</v>
      </c>
      <c r="B17">
        <v>51.54</v>
      </c>
      <c r="C17">
        <v>61.98</v>
      </c>
      <c r="D17">
        <v>47.05</v>
      </c>
      <c r="E17">
        <v>63.34</v>
      </c>
      <c r="F17">
        <v>113.05</v>
      </c>
      <c r="G17">
        <v>23.580719999999999</v>
      </c>
    </row>
    <row r="18" spans="1:7" x14ac:dyDescent="0.2">
      <c r="A18">
        <v>2007</v>
      </c>
      <c r="B18">
        <v>39.270000000000003</v>
      </c>
      <c r="C18">
        <v>51.59</v>
      </c>
      <c r="D18">
        <v>36.75</v>
      </c>
      <c r="E18">
        <v>48.16</v>
      </c>
      <c r="F18">
        <v>91.7</v>
      </c>
      <c r="G18">
        <v>19.01652</v>
      </c>
    </row>
    <row r="19" spans="1:7" x14ac:dyDescent="0.2">
      <c r="A19">
        <v>2006</v>
      </c>
      <c r="B19">
        <v>20.68</v>
      </c>
      <c r="C19">
        <v>47.07</v>
      </c>
      <c r="D19">
        <v>31.1</v>
      </c>
      <c r="E19">
        <v>28.27</v>
      </c>
      <c r="F19">
        <v>94.99</v>
      </c>
      <c r="G19">
        <v>14.68</v>
      </c>
    </row>
    <row r="20" spans="1:7" x14ac:dyDescent="0.2">
      <c r="A20">
        <v>2005</v>
      </c>
      <c r="B20">
        <v>19.27</v>
      </c>
      <c r="C20">
        <v>46.85</v>
      </c>
      <c r="D20">
        <v>27.85</v>
      </c>
      <c r="E20">
        <v>25.39</v>
      </c>
      <c r="F20">
        <v>84.34</v>
      </c>
      <c r="G20">
        <v>14.65</v>
      </c>
    </row>
    <row r="21" spans="1:7" x14ac:dyDescent="0.2">
      <c r="A21">
        <v>2004</v>
      </c>
      <c r="B21">
        <v>13.94</v>
      </c>
      <c r="C21">
        <v>33.799999999999997</v>
      </c>
      <c r="D21">
        <v>21.22</v>
      </c>
      <c r="E21">
        <v>19.399999999999999</v>
      </c>
      <c r="F21">
        <v>65.67</v>
      </c>
      <c r="G21">
        <v>10.210000000000001</v>
      </c>
    </row>
    <row r="22" spans="1:7" x14ac:dyDescent="0.2">
      <c r="A22">
        <v>2003</v>
      </c>
      <c r="B22">
        <v>12.25</v>
      </c>
      <c r="C22">
        <v>24.49</v>
      </c>
      <c r="D22">
        <v>18.079999999999998</v>
      </c>
      <c r="E22">
        <v>15.87</v>
      </c>
      <c r="F22">
        <v>51.85</v>
      </c>
      <c r="G22">
        <v>9.15</v>
      </c>
    </row>
    <row r="23" spans="1:7" x14ac:dyDescent="0.2">
      <c r="A23">
        <v>2002</v>
      </c>
      <c r="B23">
        <v>27.58</v>
      </c>
      <c r="C23">
        <v>33.299999999999997</v>
      </c>
      <c r="D23">
        <v>25.27</v>
      </c>
      <c r="E23">
        <v>20.399999999999999</v>
      </c>
      <c r="F23">
        <v>50.16</v>
      </c>
      <c r="G23">
        <v>11.937659999999999</v>
      </c>
    </row>
    <row r="24" spans="1:7" x14ac:dyDescent="0.2">
      <c r="A24">
        <v>2001</v>
      </c>
      <c r="B24">
        <v>31.37</v>
      </c>
      <c r="C24">
        <v>35.119999999999997</v>
      </c>
      <c r="D24">
        <v>33.869999999999997</v>
      </c>
      <c r="E24">
        <v>23.26</v>
      </c>
      <c r="F24">
        <v>60.88</v>
      </c>
      <c r="G24">
        <v>13.400349999999998</v>
      </c>
    </row>
    <row r="25" spans="1:7" x14ac:dyDescent="0.2">
      <c r="A25">
        <v>2000</v>
      </c>
      <c r="B25">
        <v>31.68</v>
      </c>
      <c r="C25">
        <v>35.409999999999997</v>
      </c>
      <c r="D25">
        <v>30.89</v>
      </c>
      <c r="E25">
        <v>23.29</v>
      </c>
      <c r="F25">
        <v>63.8</v>
      </c>
      <c r="G25">
        <v>13.097669999999999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261A-A2CF-C44A-9653-88C567952F27}">
  <dimension ref="A1:R42"/>
  <sheetViews>
    <sheetView workbookViewId="0">
      <selection activeCell="B34" sqref="B34"/>
    </sheetView>
  </sheetViews>
  <sheetFormatPr baseColWidth="10" defaultRowHeight="16" x14ac:dyDescent="0.2"/>
  <cols>
    <col min="1" max="1" width="15.6640625" customWidth="1"/>
    <col min="2" max="2" width="43" customWidth="1"/>
    <col min="3" max="3" width="24.1640625" customWidth="1"/>
    <col min="4" max="5" width="25.1640625" customWidth="1"/>
    <col min="7" max="7" width="17.33203125" customWidth="1"/>
  </cols>
  <sheetData>
    <row r="1" spans="1:15" x14ac:dyDescent="0.2">
      <c r="A1" s="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15" x14ac:dyDescent="0.2">
      <c r="A2" s="1">
        <v>2023</v>
      </c>
      <c r="B2" s="2">
        <v>49.71</v>
      </c>
      <c r="C2" s="2">
        <v>43.54</v>
      </c>
      <c r="D2" s="2">
        <v>59.25</v>
      </c>
      <c r="E2" s="2">
        <v>41.15</v>
      </c>
      <c r="F2" s="2">
        <v>51.58</v>
      </c>
      <c r="G2" s="2">
        <v>20.14</v>
      </c>
    </row>
    <row r="3" spans="1:15" x14ac:dyDescent="0.2">
      <c r="A3" s="1">
        <v>2022</v>
      </c>
      <c r="B3" s="2">
        <v>56.99</v>
      </c>
      <c r="C3" s="2">
        <v>50.51</v>
      </c>
      <c r="D3" s="2">
        <v>68.22</v>
      </c>
      <c r="E3" s="2">
        <v>47.71</v>
      </c>
      <c r="F3" s="2">
        <v>57.24</v>
      </c>
      <c r="G3" s="2">
        <v>23.33</v>
      </c>
      <c r="J3" t="s">
        <v>160</v>
      </c>
    </row>
    <row r="4" spans="1:15" x14ac:dyDescent="0.2">
      <c r="A4" s="1">
        <v>2021</v>
      </c>
      <c r="B4" s="2">
        <v>40.22</v>
      </c>
      <c r="C4" s="2">
        <v>34.92</v>
      </c>
      <c r="D4" s="2">
        <v>46.4</v>
      </c>
      <c r="E4" s="2">
        <v>33.01</v>
      </c>
      <c r="F4" s="2">
        <v>43.23</v>
      </c>
      <c r="G4" s="2">
        <v>16.149999999999999</v>
      </c>
    </row>
    <row r="5" spans="1:15" x14ac:dyDescent="0.2">
      <c r="A5" s="1">
        <v>2020</v>
      </c>
      <c r="B5" s="2">
        <v>30.23</v>
      </c>
      <c r="C5" s="2">
        <v>26.21</v>
      </c>
      <c r="D5" s="2">
        <v>34.950000000000003</v>
      </c>
      <c r="E5" s="2">
        <v>24.78</v>
      </c>
      <c r="F5" s="2">
        <v>35.630000000000003</v>
      </c>
      <c r="G5" s="2">
        <v>12.13</v>
      </c>
    </row>
    <row r="6" spans="1:15" x14ac:dyDescent="0.2">
      <c r="A6" s="1">
        <v>2019</v>
      </c>
      <c r="B6" s="3">
        <v>34.33</v>
      </c>
      <c r="C6" s="3">
        <v>30.88</v>
      </c>
      <c r="D6" s="3">
        <v>39.31</v>
      </c>
      <c r="E6" s="3">
        <v>29.15</v>
      </c>
      <c r="F6" s="3">
        <v>47.29</v>
      </c>
      <c r="G6" s="3">
        <v>14.24</v>
      </c>
      <c r="J6" t="s">
        <v>132</v>
      </c>
    </row>
    <row r="7" spans="1:15" ht="17" thickBot="1" x14ac:dyDescent="0.25">
      <c r="A7" s="1">
        <v>2018</v>
      </c>
      <c r="B7" s="2">
        <v>39.26</v>
      </c>
      <c r="C7" s="2">
        <v>42.93</v>
      </c>
      <c r="D7" s="2">
        <v>39.619999999999997</v>
      </c>
      <c r="E7" s="2">
        <v>57.73</v>
      </c>
      <c r="F7" s="2">
        <v>80.36</v>
      </c>
      <c r="G7">
        <f>B7*0.029+C7*0.185+D7*0.106+E7*0.104-F7*0.018+1.08</f>
        <v>18.917749999999998</v>
      </c>
    </row>
    <row r="8" spans="1:15" x14ac:dyDescent="0.2">
      <c r="A8" s="1">
        <v>2017</v>
      </c>
      <c r="B8" s="2">
        <v>37.68</v>
      </c>
      <c r="C8" s="2">
        <v>42.31</v>
      </c>
      <c r="D8" s="2">
        <v>36.729999999999997</v>
      </c>
      <c r="E8" s="2">
        <v>52.23</v>
      </c>
      <c r="F8" s="2">
        <v>76.19</v>
      </c>
      <c r="G8">
        <f>B8*0.029+C8*0.185+D8*0.106+E8*0.104-F8*0.018+1.08</f>
        <v>17.953949999999999</v>
      </c>
      <c r="J8" s="11" t="s">
        <v>133</v>
      </c>
      <c r="K8" s="11"/>
    </row>
    <row r="9" spans="1:15" x14ac:dyDescent="0.2">
      <c r="A9" s="1">
        <v>2016</v>
      </c>
      <c r="B9" s="2">
        <v>32.86</v>
      </c>
      <c r="C9" s="2">
        <v>37.47</v>
      </c>
      <c r="D9" s="2">
        <v>32.450000000000003</v>
      </c>
      <c r="E9" s="2">
        <v>44.92</v>
      </c>
      <c r="F9" s="2">
        <v>67.69</v>
      </c>
      <c r="G9">
        <f>B9*0.029+C9*0.185+D9*0.106+E9*0.104-F9*0.018+1.08</f>
        <v>15.857850000000001</v>
      </c>
      <c r="J9" s="8" t="s">
        <v>134</v>
      </c>
      <c r="K9" s="8">
        <v>0.99714349166993288</v>
      </c>
    </row>
    <row r="10" spans="1:15" x14ac:dyDescent="0.2">
      <c r="A10" s="1">
        <v>2015</v>
      </c>
      <c r="B10" s="3">
        <v>37.79</v>
      </c>
      <c r="C10" s="3">
        <v>42.24</v>
      </c>
      <c r="D10" s="3">
        <v>37.130000000000003</v>
      </c>
      <c r="E10" s="3">
        <v>52.48</v>
      </c>
      <c r="F10" s="3">
        <v>79.47</v>
      </c>
      <c r="G10">
        <f>B10*0.029+C10*0.185+D10*0.106+E10*0.104-F10*0.018+1.08</f>
        <v>17.95355</v>
      </c>
      <c r="J10" s="8" t="s">
        <v>135</v>
      </c>
      <c r="K10" s="8">
        <v>0.99429514297970545</v>
      </c>
    </row>
    <row r="11" spans="1:15" x14ac:dyDescent="0.2">
      <c r="A11" s="1">
        <v>2014</v>
      </c>
      <c r="B11" s="2">
        <v>54</v>
      </c>
      <c r="C11" s="2">
        <v>64.34</v>
      </c>
      <c r="D11" s="2">
        <v>50.4</v>
      </c>
      <c r="E11" s="2">
        <v>65.31</v>
      </c>
      <c r="F11" s="2">
        <v>117.03</v>
      </c>
      <c r="G11">
        <f>B11*0.029+C11*0.185+D11*0.106+E11*0.104-F11*0.018+1.08</f>
        <v>24.577000000000005</v>
      </c>
      <c r="J11" s="8" t="s">
        <v>136</v>
      </c>
      <c r="K11" s="8">
        <v>0.98478704794588123</v>
      </c>
    </row>
    <row r="12" spans="1:15" x14ac:dyDescent="0.2">
      <c r="A12" s="1">
        <v>2013</v>
      </c>
      <c r="B12" s="2">
        <v>53.33</v>
      </c>
      <c r="C12" s="2">
        <v>63.6</v>
      </c>
      <c r="D12" s="2">
        <v>50.67</v>
      </c>
      <c r="E12" s="2">
        <v>64.45</v>
      </c>
      <c r="F12" s="2">
        <v>117.87</v>
      </c>
      <c r="G12">
        <f>B12*0.029+C12*0.185+D12*0.106+E12*0.104-F12*0.018+1.08</f>
        <v>24.344730000000006</v>
      </c>
      <c r="J12" s="8" t="s">
        <v>137</v>
      </c>
      <c r="K12" s="8">
        <v>0.55729983627260715</v>
      </c>
    </row>
    <row r="13" spans="1:15" ht="17" thickBot="1" x14ac:dyDescent="0.25">
      <c r="A13" s="1">
        <v>2012</v>
      </c>
      <c r="B13" s="2">
        <v>55.84</v>
      </c>
      <c r="C13" s="2">
        <v>63.85</v>
      </c>
      <c r="D13" s="2">
        <v>50.17</v>
      </c>
      <c r="E13" s="2">
        <v>65.11</v>
      </c>
      <c r="F13" s="2">
        <v>118.95</v>
      </c>
      <c r="G13">
        <f>B13*0.029+C13*0.185+D13*0.106+E13*0.104-F13*0.018+1.08</f>
        <v>24.459969999999998</v>
      </c>
      <c r="J13" s="9" t="s">
        <v>138</v>
      </c>
      <c r="K13" s="9">
        <v>9</v>
      </c>
    </row>
    <row r="14" spans="1:15" x14ac:dyDescent="0.2">
      <c r="A14" s="1">
        <v>2011</v>
      </c>
      <c r="B14" s="2">
        <v>53.07</v>
      </c>
      <c r="C14" s="2">
        <v>62.79</v>
      </c>
      <c r="D14" s="2">
        <v>49.63</v>
      </c>
      <c r="E14" s="2">
        <v>65.239999999999995</v>
      </c>
      <c r="F14" s="2">
        <v>117.65</v>
      </c>
      <c r="G14">
        <f>B14*0.029+C14*0.185+D14*0.106+E14*0.104-F14*0.018+1.08</f>
        <v>24.163219999999995</v>
      </c>
    </row>
    <row r="15" spans="1:15" ht="17" thickBot="1" x14ac:dyDescent="0.25">
      <c r="A15" s="1">
        <v>2010</v>
      </c>
      <c r="B15" s="2">
        <v>42.46</v>
      </c>
      <c r="C15" s="2">
        <v>53.51</v>
      </c>
      <c r="D15" s="2">
        <v>39.36</v>
      </c>
      <c r="E15" s="2">
        <v>52.03</v>
      </c>
      <c r="F15" s="2">
        <v>95.28</v>
      </c>
      <c r="G15">
        <f>B15*0.029+C15*0.185+D15*0.106+E15*0.104-F15*0.018+1.08</f>
        <v>20.07893</v>
      </c>
      <c r="J15" t="s">
        <v>139</v>
      </c>
    </row>
    <row r="16" spans="1:15" x14ac:dyDescent="0.2">
      <c r="A16" s="1">
        <v>2009</v>
      </c>
      <c r="B16" s="2">
        <v>34.74</v>
      </c>
      <c r="C16" s="2">
        <v>41.39</v>
      </c>
      <c r="D16" s="2">
        <v>30.79</v>
      </c>
      <c r="E16" s="2">
        <v>40.89</v>
      </c>
      <c r="F16" s="2">
        <v>75.13</v>
      </c>
      <c r="G16">
        <f>B16*0.029+C16*0.185+D16*0.106+E16*0.104-F16*0.018+1.08</f>
        <v>15.908570000000001</v>
      </c>
      <c r="J16" s="10"/>
      <c r="K16" s="10" t="s">
        <v>144</v>
      </c>
      <c r="L16" s="10" t="s">
        <v>145</v>
      </c>
      <c r="M16" s="10" t="s">
        <v>146</v>
      </c>
      <c r="N16" s="10" t="s">
        <v>147</v>
      </c>
      <c r="O16" s="10" t="s">
        <v>148</v>
      </c>
    </row>
    <row r="17" spans="1:18" x14ac:dyDescent="0.2">
      <c r="A17" s="1">
        <v>2008</v>
      </c>
      <c r="B17" s="2">
        <v>51.54</v>
      </c>
      <c r="C17" s="2">
        <v>61.98</v>
      </c>
      <c r="D17" s="2">
        <v>47.05</v>
      </c>
      <c r="E17" s="2">
        <v>63.34</v>
      </c>
      <c r="F17" s="2">
        <v>113.05</v>
      </c>
      <c r="G17">
        <f>B17*0.029+C17*0.185+D17*0.106+E17*0.104-F17*0.018+1.08</f>
        <v>23.580719999999999</v>
      </c>
      <c r="J17" s="8" t="s">
        <v>140</v>
      </c>
      <c r="K17" s="8">
        <v>5</v>
      </c>
      <c r="L17" s="8">
        <v>162.39387289969375</v>
      </c>
      <c r="M17" s="8">
        <v>32.478774579938751</v>
      </c>
      <c r="N17" s="8">
        <v>104.57353859449017</v>
      </c>
      <c r="O17" s="8">
        <v>1.4555016734131025E-3</v>
      </c>
    </row>
    <row r="18" spans="1:18" x14ac:dyDescent="0.2">
      <c r="A18" s="1">
        <v>2007</v>
      </c>
      <c r="B18" s="3">
        <v>39.270000000000003</v>
      </c>
      <c r="C18" s="3">
        <v>51.59</v>
      </c>
      <c r="D18" s="3">
        <v>36.75</v>
      </c>
      <c r="E18" s="3">
        <v>48.16</v>
      </c>
      <c r="F18" s="3">
        <v>91.7</v>
      </c>
      <c r="G18">
        <f>B18*0.029+C18*0.185+D18*0.106+E18*0.104-F18*0.018+1.08</f>
        <v>19.01652</v>
      </c>
      <c r="J18" s="8" t="s">
        <v>141</v>
      </c>
      <c r="K18" s="8">
        <v>3</v>
      </c>
      <c r="L18" s="8">
        <v>0.93174932252842435</v>
      </c>
      <c r="M18" s="8">
        <v>0.31058310750947477</v>
      </c>
      <c r="N18" s="8"/>
      <c r="O18" s="8"/>
    </row>
    <row r="19" spans="1:18" ht="17" thickBot="1" x14ac:dyDescent="0.25">
      <c r="A19" s="1">
        <v>2006</v>
      </c>
      <c r="B19" s="2">
        <v>20.68</v>
      </c>
      <c r="C19" s="2">
        <v>47.07</v>
      </c>
      <c r="D19" s="2">
        <v>31.1</v>
      </c>
      <c r="E19" s="2">
        <v>28.27</v>
      </c>
      <c r="F19" s="2">
        <v>94.99</v>
      </c>
      <c r="G19" s="2">
        <v>14.68</v>
      </c>
      <c r="J19" s="9" t="s">
        <v>142</v>
      </c>
      <c r="K19" s="9">
        <v>8</v>
      </c>
      <c r="L19" s="9">
        <v>163.32562222222217</v>
      </c>
      <c r="M19" s="9"/>
      <c r="N19" s="9"/>
      <c r="O19" s="9"/>
    </row>
    <row r="20" spans="1:18" ht="17" thickBot="1" x14ac:dyDescent="0.25">
      <c r="A20" s="1">
        <v>2005</v>
      </c>
      <c r="B20" s="2">
        <v>19.27</v>
      </c>
      <c r="C20" s="2">
        <v>46.85</v>
      </c>
      <c r="D20" s="2">
        <v>27.85</v>
      </c>
      <c r="E20" s="2">
        <v>25.39</v>
      </c>
      <c r="F20" s="2">
        <v>84.34</v>
      </c>
      <c r="G20" s="2">
        <v>14.65</v>
      </c>
    </row>
    <row r="21" spans="1:18" x14ac:dyDescent="0.2">
      <c r="A21" s="1">
        <v>2004</v>
      </c>
      <c r="B21" s="2">
        <v>13.94</v>
      </c>
      <c r="C21" s="2">
        <v>33.799999999999997</v>
      </c>
      <c r="D21" s="2">
        <v>21.22</v>
      </c>
      <c r="E21" s="2">
        <v>19.399999999999999</v>
      </c>
      <c r="F21" s="2">
        <v>65.67</v>
      </c>
      <c r="G21" s="2">
        <v>10.210000000000001</v>
      </c>
      <c r="J21" s="10"/>
      <c r="K21" s="10" t="s">
        <v>149</v>
      </c>
      <c r="L21" s="10" t="s">
        <v>137</v>
      </c>
      <c r="M21" s="10" t="s">
        <v>150</v>
      </c>
      <c r="N21" s="10" t="s">
        <v>151</v>
      </c>
      <c r="O21" s="10" t="s">
        <v>152</v>
      </c>
      <c r="P21" s="10" t="s">
        <v>153</v>
      </c>
      <c r="Q21" s="10" t="s">
        <v>154</v>
      </c>
      <c r="R21" s="10" t="s">
        <v>155</v>
      </c>
    </row>
    <row r="22" spans="1:18" x14ac:dyDescent="0.2">
      <c r="A22" s="1">
        <v>2003</v>
      </c>
      <c r="B22" s="3">
        <v>12.25</v>
      </c>
      <c r="C22" s="3">
        <v>24.49</v>
      </c>
      <c r="D22" s="3">
        <v>18.079999999999998</v>
      </c>
      <c r="E22" s="3">
        <v>15.87</v>
      </c>
      <c r="F22" s="3">
        <v>51.85</v>
      </c>
      <c r="G22" s="3">
        <v>9.15</v>
      </c>
      <c r="J22" s="8" t="s">
        <v>143</v>
      </c>
      <c r="K22" s="8">
        <v>1.0756263087498441</v>
      </c>
      <c r="L22" s="8">
        <v>1.3892241961686618</v>
      </c>
      <c r="M22" s="8">
        <v>0.77426401851933724</v>
      </c>
      <c r="N22" s="8">
        <v>0.49519518514204336</v>
      </c>
      <c r="O22" s="8">
        <v>-3.3455051015578441</v>
      </c>
      <c r="P22" s="8">
        <v>5.4967577190575323</v>
      </c>
      <c r="Q22" s="8">
        <v>-3.3455051015578441</v>
      </c>
      <c r="R22" s="8">
        <v>5.4967577190575323</v>
      </c>
    </row>
    <row r="23" spans="1:18" x14ac:dyDescent="0.2">
      <c r="A23" s="1">
        <v>2002</v>
      </c>
      <c r="B23" s="2">
        <v>27.58</v>
      </c>
      <c r="C23" s="2">
        <v>33.299999999999997</v>
      </c>
      <c r="D23" s="2">
        <v>25.27</v>
      </c>
      <c r="E23" s="2">
        <v>20.399999999999999</v>
      </c>
      <c r="F23" s="2">
        <v>50.16</v>
      </c>
      <c r="G23">
        <f>B23*0.029+C23*0.185+D23*0.106+E23*0.104-F23*0.018+1.08</f>
        <v>11.937659999999999</v>
      </c>
      <c r="J23" s="8" t="s">
        <v>6</v>
      </c>
      <c r="K23" s="8">
        <v>2.8950802100160381E-2</v>
      </c>
      <c r="L23" s="8">
        <v>0.34275628964496968</v>
      </c>
      <c r="M23" s="8">
        <v>8.4464685185348179E-2</v>
      </c>
      <c r="N23" s="8">
        <v>0.93800779894215769</v>
      </c>
      <c r="O23" s="8">
        <v>-1.0618526854932262</v>
      </c>
      <c r="P23" s="8">
        <v>1.1197542896935468</v>
      </c>
      <c r="Q23" s="8">
        <v>-1.0618526854932262</v>
      </c>
      <c r="R23" s="8">
        <v>1.1197542896935468</v>
      </c>
    </row>
    <row r="24" spans="1:18" x14ac:dyDescent="0.2">
      <c r="A24" s="1">
        <v>2001</v>
      </c>
      <c r="B24" s="2">
        <v>31.37</v>
      </c>
      <c r="C24" s="2">
        <v>35.119999999999997</v>
      </c>
      <c r="D24" s="2">
        <v>33.869999999999997</v>
      </c>
      <c r="E24" s="2">
        <v>23.26</v>
      </c>
      <c r="F24" s="2">
        <v>60.88</v>
      </c>
      <c r="G24">
        <f>B24*0.029+C24*0.185+D24*0.106+E24*0.104-F24*0.018+1.08</f>
        <v>13.400349999999998</v>
      </c>
      <c r="J24" s="8" t="s">
        <v>0</v>
      </c>
      <c r="K24" s="8">
        <v>0.18454398309676984</v>
      </c>
      <c r="L24" s="8">
        <v>0.11756968575250033</v>
      </c>
      <c r="M24" s="8">
        <v>1.5696561738308905</v>
      </c>
      <c r="N24" s="8">
        <v>0.21451345235782424</v>
      </c>
      <c r="O24" s="8">
        <v>-0.18961522893964156</v>
      </c>
      <c r="P24" s="8">
        <v>0.55870319513318123</v>
      </c>
      <c r="Q24" s="8">
        <v>-0.18961522893964156</v>
      </c>
      <c r="R24" s="8">
        <v>0.55870319513318123</v>
      </c>
    </row>
    <row r="25" spans="1:18" x14ac:dyDescent="0.2">
      <c r="A25" s="1">
        <v>2000</v>
      </c>
      <c r="B25" s="2">
        <v>31.68</v>
      </c>
      <c r="C25" s="2">
        <v>35.409999999999997</v>
      </c>
      <c r="D25" s="2">
        <v>30.89</v>
      </c>
      <c r="E25" s="2">
        <v>23.29</v>
      </c>
      <c r="F25" s="2">
        <v>63.8</v>
      </c>
      <c r="G25">
        <f>B25*0.029+C25*0.185+D25*0.106+E25*0.104-F25*0.018+1.08</f>
        <v>13.097669999999999</v>
      </c>
      <c r="J25" s="8" t="s">
        <v>1</v>
      </c>
      <c r="K25" s="8">
        <v>0.1059528871165531</v>
      </c>
      <c r="L25" s="8">
        <v>0.56655499006438292</v>
      </c>
      <c r="M25" s="8">
        <v>0.18701253889673214</v>
      </c>
      <c r="N25" s="8">
        <v>0.86358346182430235</v>
      </c>
      <c r="O25" s="8">
        <v>-1.6970779477538909</v>
      </c>
      <c r="P25" s="8">
        <v>1.9089837219869972</v>
      </c>
      <c r="Q25" s="8">
        <v>-1.6970779477538909</v>
      </c>
      <c r="R25" s="8">
        <v>1.9089837219869972</v>
      </c>
    </row>
    <row r="26" spans="1:18" x14ac:dyDescent="0.2">
      <c r="B26" s="2"/>
      <c r="J26" s="8" t="s">
        <v>2</v>
      </c>
      <c r="K26" s="8">
        <v>0.10399487971485319</v>
      </c>
      <c r="L26" s="8">
        <v>1.2107678472787866</v>
      </c>
      <c r="M26" s="8">
        <v>8.5891676053822183E-2</v>
      </c>
      <c r="N26" s="8">
        <v>0.93696386614495886</v>
      </c>
      <c r="O26" s="8">
        <v>-3.7492087824138314</v>
      </c>
      <c r="P26" s="8">
        <v>3.9571985418435376</v>
      </c>
      <c r="Q26" s="8">
        <v>-3.7492087824138314</v>
      </c>
      <c r="R26" s="8">
        <v>3.9571985418435376</v>
      </c>
    </row>
    <row r="27" spans="1:18" ht="17" thickBot="1" x14ac:dyDescent="0.25">
      <c r="J27" s="9" t="s">
        <v>3</v>
      </c>
      <c r="K27" s="9">
        <v>-1.8228305002226639E-2</v>
      </c>
      <c r="L27" s="9">
        <v>0.14466061580566603</v>
      </c>
      <c r="M27" s="9">
        <v>-0.12600737872368906</v>
      </c>
      <c r="N27" s="9">
        <v>0.90769660467323665</v>
      </c>
      <c r="O27" s="9">
        <v>-0.47860294729303465</v>
      </c>
      <c r="P27" s="9">
        <v>0.44214633728858133</v>
      </c>
      <c r="Q27" s="9">
        <v>-0.47860294729303465</v>
      </c>
      <c r="R27" s="9">
        <v>0.44214633728858133</v>
      </c>
    </row>
    <row r="31" spans="1:18" x14ac:dyDescent="0.2">
      <c r="J31" t="s">
        <v>156</v>
      </c>
    </row>
    <row r="32" spans="1:18" ht="17" thickBot="1" x14ac:dyDescent="0.25"/>
    <row r="33" spans="10:12" x14ac:dyDescent="0.2">
      <c r="J33" s="10" t="s">
        <v>157</v>
      </c>
      <c r="K33" s="10" t="s">
        <v>158</v>
      </c>
      <c r="L33" s="10" t="s">
        <v>159</v>
      </c>
    </row>
    <row r="34" spans="10:12" x14ac:dyDescent="0.2">
      <c r="J34" s="8">
        <v>1</v>
      </c>
      <c r="K34" s="8">
        <v>23.19316259861527</v>
      </c>
      <c r="L34" s="8">
        <v>0.136837401384728</v>
      </c>
    </row>
    <row r="35" spans="10:12" x14ac:dyDescent="0.2">
      <c r="J35" s="8">
        <v>2</v>
      </c>
      <c r="K35" s="8">
        <v>20.166697595089307</v>
      </c>
      <c r="L35" s="8">
        <v>-2.6697595089306247E-2</v>
      </c>
    </row>
    <row r="36" spans="10:12" x14ac:dyDescent="0.2">
      <c r="J36" s="8">
        <v>3</v>
      </c>
      <c r="K36" s="8">
        <v>16.245378775306609</v>
      </c>
      <c r="L36" s="8">
        <v>-9.5378775306610208E-2</v>
      </c>
    </row>
    <row r="37" spans="10:12" x14ac:dyDescent="0.2">
      <c r="J37" s="8">
        <v>4</v>
      </c>
      <c r="K37" s="8">
        <v>14.86437752724831</v>
      </c>
      <c r="L37" s="8">
        <v>-0.18437752724831036</v>
      </c>
    </row>
    <row r="38" spans="10:12" x14ac:dyDescent="0.2">
      <c r="J38" s="8">
        <v>5</v>
      </c>
      <c r="K38" s="8">
        <v>14.333236531571933</v>
      </c>
      <c r="L38" s="8">
        <v>0.3167634684280678</v>
      </c>
    </row>
    <row r="39" spans="10:12" x14ac:dyDescent="0.2">
      <c r="J39" s="8">
        <v>6</v>
      </c>
      <c r="K39" s="8">
        <v>14.102667735560976</v>
      </c>
      <c r="L39" s="8">
        <v>0.13733226443902424</v>
      </c>
    </row>
    <row r="40" spans="10:12" x14ac:dyDescent="0.2">
      <c r="J40" s="8">
        <v>7</v>
      </c>
      <c r="K40" s="8">
        <v>12.418278870032289</v>
      </c>
      <c r="L40" s="8">
        <v>-0.28827887003228803</v>
      </c>
    </row>
    <row r="41" spans="10:12" x14ac:dyDescent="0.2">
      <c r="J41" s="8">
        <v>8</v>
      </c>
      <c r="K41" s="8">
        <v>10.785555260282084</v>
      </c>
      <c r="L41" s="8">
        <v>-0.57555526028208348</v>
      </c>
    </row>
    <row r="42" spans="10:12" ht="17" thickBot="1" x14ac:dyDescent="0.25">
      <c r="J42" s="9">
        <v>9</v>
      </c>
      <c r="K42" s="9">
        <v>8.5706451062932505</v>
      </c>
      <c r="L42" s="9">
        <v>0.57935489370674986</v>
      </c>
    </row>
  </sheetData>
  <autoFilter ref="G1:G26" xr:uid="{CA2E261A-A2CF-C44A-9653-88C567952F27}"/>
  <sortState xmlns:xlrd2="http://schemas.microsoft.com/office/spreadsheetml/2017/richdata2" ref="A2:G42">
    <sortCondition descending="1" ref="A1:A42"/>
  </sortState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BB18-A8A9-0340-B038-00C3105726D1}">
  <dimension ref="A1:BJ25"/>
  <sheetViews>
    <sheetView workbookViewId="0">
      <selection activeCell="A25" sqref="A25:XFD25"/>
    </sheetView>
  </sheetViews>
  <sheetFormatPr baseColWidth="10" defaultRowHeight="16" x14ac:dyDescent="0.2"/>
  <cols>
    <col min="1" max="1" width="14.1640625" customWidth="1"/>
  </cols>
  <sheetData>
    <row r="1" spans="1:62" x14ac:dyDescent="0.2">
      <c r="A1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45</v>
      </c>
      <c r="AN1" s="4" t="s">
        <v>46</v>
      </c>
      <c r="AO1" s="4" t="s">
        <v>47</v>
      </c>
      <c r="AP1" s="4" t="s">
        <v>48</v>
      </c>
      <c r="AQ1" s="4" t="s">
        <v>49</v>
      </c>
      <c r="AR1" s="4" t="s">
        <v>50</v>
      </c>
      <c r="AS1" s="4" t="s">
        <v>51</v>
      </c>
      <c r="AT1" s="4" t="s">
        <v>52</v>
      </c>
      <c r="AU1" s="4" t="s">
        <v>53</v>
      </c>
      <c r="AV1" s="4" t="s">
        <v>54</v>
      </c>
      <c r="AW1" s="4" t="s">
        <v>55</v>
      </c>
      <c r="AX1" s="4" t="s">
        <v>56</v>
      </c>
      <c r="AY1" s="4" t="s">
        <v>57</v>
      </c>
      <c r="AZ1" s="4" t="s">
        <v>58</v>
      </c>
      <c r="BA1" s="4" t="s">
        <v>59</v>
      </c>
      <c r="BB1" s="4" t="s">
        <v>60</v>
      </c>
      <c r="BC1" s="4" t="s">
        <v>61</v>
      </c>
      <c r="BD1" s="4" t="s">
        <v>62</v>
      </c>
      <c r="BE1" s="4" t="s">
        <v>63</v>
      </c>
      <c r="BF1" s="4" t="s">
        <v>64</v>
      </c>
      <c r="BG1" s="4" t="s">
        <v>65</v>
      </c>
      <c r="BH1" s="4" t="s">
        <v>66</v>
      </c>
      <c r="BI1" s="4" t="s">
        <v>67</v>
      </c>
      <c r="BJ1" s="4" t="s">
        <v>68</v>
      </c>
    </row>
    <row r="2" spans="1:62" x14ac:dyDescent="0.2">
      <c r="A2" s="1">
        <v>2023</v>
      </c>
      <c r="B2" s="4">
        <v>15.81</v>
      </c>
      <c r="C2" s="4">
        <v>15.69</v>
      </c>
      <c r="D2" s="4">
        <v>12.3</v>
      </c>
      <c r="E2" s="4">
        <v>17.88</v>
      </c>
      <c r="F2" s="4">
        <v>15.76</v>
      </c>
      <c r="G2" s="4">
        <v>18.98</v>
      </c>
      <c r="H2" s="4">
        <v>11.27</v>
      </c>
      <c r="I2" s="4">
        <v>7.91</v>
      </c>
      <c r="J2" s="4">
        <v>11.68</v>
      </c>
      <c r="K2" s="4">
        <v>6.87</v>
      </c>
      <c r="L2" s="4">
        <v>7.75</v>
      </c>
      <c r="M2" s="4">
        <v>7.94</v>
      </c>
      <c r="N2" s="4">
        <v>8.1999999999999993</v>
      </c>
      <c r="O2" s="4">
        <v>8.24</v>
      </c>
      <c r="P2" s="4">
        <v>8.16</v>
      </c>
      <c r="Q2" s="4">
        <v>7.03</v>
      </c>
      <c r="R2" s="4">
        <v>8.68</v>
      </c>
      <c r="S2" s="4">
        <v>7.77</v>
      </c>
      <c r="T2" s="4">
        <v>6.91</v>
      </c>
      <c r="U2" s="4">
        <v>7.64</v>
      </c>
      <c r="V2" s="4">
        <v>9.1999999999999993</v>
      </c>
      <c r="W2" s="4">
        <v>7.9</v>
      </c>
      <c r="X2" s="4">
        <v>7.63</v>
      </c>
      <c r="Y2" s="4">
        <v>7.37</v>
      </c>
      <c r="Z2" s="4">
        <v>8.01</v>
      </c>
      <c r="AA2" s="4">
        <v>7.58</v>
      </c>
      <c r="AB2" s="4">
        <v>7.85</v>
      </c>
      <c r="AC2" s="4">
        <v>10.85</v>
      </c>
      <c r="AD2" s="4">
        <v>9.39</v>
      </c>
      <c r="AE2" s="4">
        <v>6.88</v>
      </c>
      <c r="AF2" s="4">
        <v>9.94</v>
      </c>
      <c r="AG2" s="4">
        <v>7.15</v>
      </c>
      <c r="AH2" s="4">
        <v>6.68</v>
      </c>
      <c r="AI2" s="4">
        <v>8.92</v>
      </c>
      <c r="AJ2" s="4">
        <v>7.24</v>
      </c>
      <c r="AK2" s="4">
        <v>6.72</v>
      </c>
      <c r="AL2" s="4">
        <v>7.1</v>
      </c>
      <c r="AM2" s="4">
        <v>6.55</v>
      </c>
      <c r="AN2" s="4">
        <v>6.96</v>
      </c>
      <c r="AO2" s="4">
        <v>6.23</v>
      </c>
      <c r="AP2" s="4">
        <v>6.47</v>
      </c>
      <c r="AQ2" s="4">
        <v>6.87</v>
      </c>
      <c r="AR2" s="4">
        <v>5.88</v>
      </c>
      <c r="AS2" s="4">
        <v>6.26</v>
      </c>
      <c r="AT2" s="4">
        <v>6.6</v>
      </c>
      <c r="AU2" s="4">
        <v>7.84</v>
      </c>
      <c r="AV2" s="4">
        <v>8.11</v>
      </c>
      <c r="AW2" s="4">
        <v>8.5</v>
      </c>
      <c r="AX2" s="4">
        <v>7.17</v>
      </c>
      <c r="AY2" s="4">
        <v>7.8</v>
      </c>
      <c r="AZ2" s="4">
        <v>10.36</v>
      </c>
      <c r="BA2" s="4">
        <v>5.75</v>
      </c>
      <c r="BB2" s="4">
        <v>6.99</v>
      </c>
      <c r="BC2" s="4">
        <v>7.06</v>
      </c>
      <c r="BD2" s="4">
        <v>13.38</v>
      </c>
      <c r="BE2" s="4">
        <v>18.64</v>
      </c>
      <c r="BF2" s="4">
        <v>7.52</v>
      </c>
      <c r="BG2" s="4">
        <v>6.35</v>
      </c>
      <c r="BH2" s="4">
        <v>30.55</v>
      </c>
      <c r="BI2" s="4">
        <v>18.7</v>
      </c>
      <c r="BJ2" s="4">
        <v>35.28</v>
      </c>
    </row>
    <row r="3" spans="1:62" x14ac:dyDescent="0.2">
      <c r="A3" s="1">
        <v>2022</v>
      </c>
      <c r="B3" s="4">
        <v>15.02</v>
      </c>
      <c r="C3" s="4">
        <v>15.07</v>
      </c>
      <c r="D3" s="4">
        <v>11.03</v>
      </c>
      <c r="E3" s="4">
        <v>17.059999999999999</v>
      </c>
      <c r="F3" s="4">
        <v>15.15</v>
      </c>
      <c r="G3" s="4">
        <v>17.96</v>
      </c>
      <c r="H3" s="4">
        <v>11.88</v>
      </c>
      <c r="I3" s="4">
        <v>8.42</v>
      </c>
      <c r="J3" s="4">
        <v>12.12</v>
      </c>
      <c r="K3" s="4">
        <v>7.55</v>
      </c>
      <c r="L3" s="4">
        <v>8.2100000000000009</v>
      </c>
      <c r="M3" s="4">
        <v>8.24</v>
      </c>
      <c r="N3" s="4">
        <v>8.57</v>
      </c>
      <c r="O3" s="4">
        <v>8.65</v>
      </c>
      <c r="P3" s="4">
        <v>8.33</v>
      </c>
      <c r="Q3" s="4">
        <v>7.45</v>
      </c>
      <c r="R3" s="4">
        <v>8.49</v>
      </c>
      <c r="S3" s="4">
        <v>7.82</v>
      </c>
      <c r="T3" s="4">
        <v>7.06</v>
      </c>
      <c r="U3" s="4">
        <v>8.3000000000000007</v>
      </c>
      <c r="V3" s="4">
        <v>9.25</v>
      </c>
      <c r="W3" s="4">
        <v>7.67</v>
      </c>
      <c r="X3" s="4">
        <v>7.21</v>
      </c>
      <c r="Y3" s="4">
        <v>7.28</v>
      </c>
      <c r="Z3" s="4">
        <v>8.0399999999999991</v>
      </c>
      <c r="AA3" s="4">
        <v>7.79</v>
      </c>
      <c r="AB3" s="4">
        <v>8.7899999999999991</v>
      </c>
      <c r="AC3" s="4">
        <v>7.74</v>
      </c>
      <c r="AD3" s="4">
        <v>9.16</v>
      </c>
      <c r="AE3" s="4">
        <v>8.65</v>
      </c>
      <c r="AF3" s="4">
        <v>10.01</v>
      </c>
      <c r="AG3" s="4">
        <v>6.54</v>
      </c>
      <c r="AH3" s="4">
        <v>7.13</v>
      </c>
      <c r="AI3" s="4">
        <v>7.99</v>
      </c>
      <c r="AJ3" s="4">
        <v>6.74</v>
      </c>
      <c r="AK3" s="4">
        <v>7.2</v>
      </c>
      <c r="AL3" s="4">
        <v>7.72</v>
      </c>
      <c r="AM3" s="4">
        <v>7.41</v>
      </c>
      <c r="AN3" s="4">
        <v>6.71</v>
      </c>
      <c r="AO3" s="4">
        <v>6.55</v>
      </c>
      <c r="AP3" s="4">
        <v>7.21</v>
      </c>
      <c r="AQ3" s="4">
        <v>7.38</v>
      </c>
      <c r="AR3" s="4">
        <v>7.54</v>
      </c>
      <c r="AS3" s="4">
        <v>6.96</v>
      </c>
      <c r="AT3" s="4">
        <v>7.13</v>
      </c>
      <c r="AU3" s="4">
        <v>7.56</v>
      </c>
      <c r="AV3" s="4">
        <v>7.86</v>
      </c>
      <c r="AW3" s="4">
        <v>8.6300000000000008</v>
      </c>
      <c r="AX3" s="4">
        <v>6.71</v>
      </c>
      <c r="AY3" s="4">
        <v>7.49</v>
      </c>
      <c r="AZ3" s="4">
        <v>8.5</v>
      </c>
      <c r="BA3" s="4">
        <v>6.56</v>
      </c>
      <c r="BB3" s="4">
        <v>6.84</v>
      </c>
      <c r="BC3" s="4">
        <v>6.89</v>
      </c>
      <c r="BD3" s="4">
        <v>12.22</v>
      </c>
      <c r="BE3" s="4">
        <v>17.09</v>
      </c>
      <c r="BF3" s="4">
        <v>6.81</v>
      </c>
      <c r="BG3" s="4">
        <v>6.17</v>
      </c>
      <c r="BH3" s="4">
        <v>31.5</v>
      </c>
      <c r="BI3" s="4">
        <v>18.43</v>
      </c>
      <c r="BJ3" s="4">
        <v>36.71</v>
      </c>
    </row>
    <row r="4" spans="1:62" x14ac:dyDescent="0.2">
      <c r="A4" s="1">
        <v>2021</v>
      </c>
      <c r="B4" s="4">
        <v>12.8</v>
      </c>
      <c r="C4" s="4">
        <v>9.6300000000000008</v>
      </c>
      <c r="D4" s="4">
        <v>9.5500000000000007</v>
      </c>
      <c r="E4" s="4">
        <v>15.18</v>
      </c>
      <c r="F4" s="4">
        <v>13.81</v>
      </c>
      <c r="G4" s="4">
        <v>16.059999999999999</v>
      </c>
      <c r="H4" s="4">
        <v>11.38</v>
      </c>
      <c r="I4" s="4">
        <v>6.87</v>
      </c>
      <c r="J4" s="4">
        <v>10.7</v>
      </c>
      <c r="K4" s="4">
        <v>6.34</v>
      </c>
      <c r="L4" s="4">
        <v>6.54</v>
      </c>
      <c r="M4" s="4">
        <v>7.22</v>
      </c>
      <c r="N4" s="4">
        <v>7.3</v>
      </c>
      <c r="O4" s="4">
        <v>7.39</v>
      </c>
      <c r="P4" s="4">
        <v>7.69</v>
      </c>
      <c r="Q4" s="4">
        <v>6.55</v>
      </c>
      <c r="R4" s="4">
        <v>7.63</v>
      </c>
      <c r="S4" s="4">
        <v>7.35</v>
      </c>
      <c r="T4" s="4">
        <v>6.63</v>
      </c>
      <c r="U4" s="4">
        <v>7.38</v>
      </c>
      <c r="V4" s="4">
        <v>8.2899999999999991</v>
      </c>
      <c r="W4" s="4">
        <v>7.11</v>
      </c>
      <c r="X4" s="4">
        <v>7.26</v>
      </c>
      <c r="Y4" s="4">
        <v>7.37</v>
      </c>
      <c r="Z4" s="4">
        <v>8.02</v>
      </c>
      <c r="AA4" s="4">
        <v>6.51</v>
      </c>
      <c r="AB4" s="4">
        <v>7.6</v>
      </c>
      <c r="AC4" s="4">
        <v>7.87</v>
      </c>
      <c r="AD4" s="4">
        <v>7.65</v>
      </c>
      <c r="AE4" s="4">
        <v>6.49</v>
      </c>
      <c r="AF4" s="4">
        <v>8.4600000000000009</v>
      </c>
      <c r="AG4" s="4">
        <v>6.14</v>
      </c>
      <c r="AH4" s="4">
        <v>6.07</v>
      </c>
      <c r="AI4" s="4">
        <v>6.49</v>
      </c>
      <c r="AJ4" s="4">
        <v>6.07</v>
      </c>
      <c r="AK4" s="4">
        <v>5.97</v>
      </c>
      <c r="AL4" s="4">
        <v>6.33</v>
      </c>
      <c r="AM4" s="4">
        <v>5.95</v>
      </c>
      <c r="AN4" s="4">
        <v>5.95</v>
      </c>
      <c r="AO4" s="4">
        <v>5.51</v>
      </c>
      <c r="AP4" s="4">
        <v>6.12</v>
      </c>
      <c r="AQ4" s="4">
        <v>6.57</v>
      </c>
      <c r="AR4" s="4">
        <v>6.21</v>
      </c>
      <c r="AS4" s="4">
        <v>5.5</v>
      </c>
      <c r="AT4" s="4">
        <v>6.12</v>
      </c>
      <c r="AU4" s="4">
        <v>6.68</v>
      </c>
      <c r="AV4" s="4">
        <v>6.79</v>
      </c>
      <c r="AW4" s="4">
        <v>8.01</v>
      </c>
      <c r="AX4" s="4">
        <v>6.39</v>
      </c>
      <c r="AY4" s="4">
        <v>6.24</v>
      </c>
      <c r="AZ4" s="4">
        <v>6.02</v>
      </c>
      <c r="BA4" s="4">
        <v>6.16</v>
      </c>
      <c r="BB4" s="4">
        <v>6.19</v>
      </c>
      <c r="BC4" s="4">
        <v>6.83</v>
      </c>
      <c r="BD4" s="4">
        <v>10.81</v>
      </c>
      <c r="BE4" s="4">
        <v>14.82</v>
      </c>
      <c r="BF4" s="4">
        <v>5.97</v>
      </c>
      <c r="BG4" s="4">
        <v>5.81</v>
      </c>
      <c r="BH4" s="4">
        <v>24.19</v>
      </c>
      <c r="BI4" s="4">
        <v>16.850000000000001</v>
      </c>
      <c r="BJ4" s="4">
        <v>27.12</v>
      </c>
    </row>
    <row r="5" spans="1:62" x14ac:dyDescent="0.2">
      <c r="A5" s="1">
        <v>2020</v>
      </c>
      <c r="B5" s="4">
        <v>12.89</v>
      </c>
      <c r="C5" s="4">
        <v>13.07</v>
      </c>
      <c r="D5" s="4">
        <v>8.86</v>
      </c>
      <c r="E5" s="4">
        <v>14.51</v>
      </c>
      <c r="F5" s="4">
        <v>13.11</v>
      </c>
      <c r="G5" s="4">
        <v>15.76</v>
      </c>
      <c r="H5" s="4">
        <v>11.2</v>
      </c>
      <c r="I5" s="4">
        <v>6.38</v>
      </c>
      <c r="J5" s="4">
        <v>10.01</v>
      </c>
      <c r="K5" s="4">
        <v>5.54</v>
      </c>
      <c r="L5" s="4">
        <v>6.16</v>
      </c>
      <c r="M5" s="4">
        <v>6.78</v>
      </c>
      <c r="N5" s="4">
        <v>6.7</v>
      </c>
      <c r="O5" s="4">
        <v>6.98</v>
      </c>
      <c r="P5" s="4">
        <v>7.24</v>
      </c>
      <c r="Q5" s="4">
        <v>6.16</v>
      </c>
      <c r="R5" s="4">
        <v>7.29</v>
      </c>
      <c r="S5" s="4">
        <v>7.11</v>
      </c>
      <c r="T5" s="4">
        <v>6.43</v>
      </c>
      <c r="U5" s="4">
        <v>7.3</v>
      </c>
      <c r="V5" s="4">
        <v>7.67</v>
      </c>
      <c r="W5" s="4">
        <v>6.84</v>
      </c>
      <c r="X5" s="4">
        <v>7.38</v>
      </c>
      <c r="Y5" s="4">
        <v>7.26</v>
      </c>
      <c r="Z5" s="4">
        <v>7.79</v>
      </c>
      <c r="AA5" s="4">
        <v>6.25</v>
      </c>
      <c r="AB5" s="4">
        <v>6.7</v>
      </c>
      <c r="AC5" s="4">
        <v>7.99</v>
      </c>
      <c r="AD5" s="4">
        <v>7.15</v>
      </c>
      <c r="AE5" s="4">
        <v>5.77</v>
      </c>
      <c r="AF5" s="4">
        <v>7.81</v>
      </c>
      <c r="AG5" s="4">
        <v>6.31</v>
      </c>
      <c r="AH5" s="4">
        <v>5.98</v>
      </c>
      <c r="AI5" s="4">
        <v>6.28</v>
      </c>
      <c r="AJ5" s="4">
        <v>6.09</v>
      </c>
      <c r="AK5" s="4">
        <v>5.55</v>
      </c>
      <c r="AL5" s="4">
        <v>5.87</v>
      </c>
      <c r="AM5" s="4">
        <v>5.31</v>
      </c>
      <c r="AN5" s="4">
        <v>5.63</v>
      </c>
      <c r="AO5" s="4">
        <v>5.33</v>
      </c>
      <c r="AP5" s="4">
        <v>5.0599999999999996</v>
      </c>
      <c r="AQ5" s="4">
        <v>5.89</v>
      </c>
      <c r="AR5" s="4">
        <v>4.88</v>
      </c>
      <c r="AS5" s="4">
        <v>4.6100000000000003</v>
      </c>
      <c r="AT5" s="4">
        <v>5.07</v>
      </c>
      <c r="AU5" s="4">
        <v>6.25</v>
      </c>
      <c r="AV5" s="4">
        <v>6.07</v>
      </c>
      <c r="AW5" s="4">
        <v>7.48</v>
      </c>
      <c r="AX5" s="4">
        <v>6.23</v>
      </c>
      <c r="AY5" s="4">
        <v>5.18</v>
      </c>
      <c r="AZ5" s="4">
        <v>5.61</v>
      </c>
      <c r="BA5" s="4">
        <v>5.58</v>
      </c>
      <c r="BB5" s="4">
        <v>5.9</v>
      </c>
      <c r="BC5" s="4">
        <v>6.88</v>
      </c>
      <c r="BD5" s="4">
        <v>10.3</v>
      </c>
      <c r="BE5" s="4">
        <v>14.27</v>
      </c>
      <c r="BF5" s="4">
        <v>5.7</v>
      </c>
      <c r="BG5" s="4">
        <v>5.08</v>
      </c>
      <c r="BH5" s="4">
        <v>22.01</v>
      </c>
      <c r="BI5" s="4">
        <v>15.88</v>
      </c>
      <c r="BJ5" s="4">
        <v>24.45</v>
      </c>
    </row>
    <row r="6" spans="1:62" x14ac:dyDescent="0.2">
      <c r="A6" s="1">
        <v>2019</v>
      </c>
      <c r="B6" s="4">
        <v>13.07</v>
      </c>
      <c r="C6" s="4">
        <v>13.44</v>
      </c>
      <c r="D6" s="4">
        <v>9.2200000000000006</v>
      </c>
      <c r="E6" s="4">
        <v>14.76</v>
      </c>
      <c r="F6" s="4">
        <v>13.09</v>
      </c>
      <c r="G6" s="4">
        <v>15.59</v>
      </c>
      <c r="H6" s="4">
        <v>11.05</v>
      </c>
      <c r="I6" s="4">
        <v>6.57</v>
      </c>
      <c r="J6" s="4">
        <v>10.16</v>
      </c>
      <c r="K6" s="4">
        <v>5.61</v>
      </c>
      <c r="L6" s="4">
        <v>6.41</v>
      </c>
      <c r="M6" s="4">
        <v>6.91</v>
      </c>
      <c r="N6" s="4">
        <v>6.52</v>
      </c>
      <c r="O6" s="4">
        <v>7.36</v>
      </c>
      <c r="P6" s="4">
        <v>7.07</v>
      </c>
      <c r="Q6" s="4">
        <v>6.55</v>
      </c>
      <c r="R6" s="4">
        <v>7.31</v>
      </c>
      <c r="S6" s="4">
        <v>7.27</v>
      </c>
      <c r="T6" s="4">
        <v>6.6</v>
      </c>
      <c r="U6" s="4">
        <v>7.35</v>
      </c>
      <c r="V6" s="4">
        <v>7.53</v>
      </c>
      <c r="W6" s="4">
        <v>7.11</v>
      </c>
      <c r="X6" s="4">
        <v>7.65</v>
      </c>
      <c r="Y6" s="4">
        <v>7.94</v>
      </c>
      <c r="Z6" s="4">
        <v>7.81</v>
      </c>
      <c r="AA6" s="4">
        <v>6.5</v>
      </c>
      <c r="AB6" s="4">
        <v>7.7</v>
      </c>
      <c r="AC6" s="4">
        <v>8.2200000000000006</v>
      </c>
      <c r="AD6" s="4">
        <v>7.65</v>
      </c>
      <c r="AE6" s="4">
        <v>6.17</v>
      </c>
      <c r="AF6" s="4">
        <v>7.8</v>
      </c>
      <c r="AG6" s="4">
        <v>6.3</v>
      </c>
      <c r="AH6" s="4">
        <v>6.11</v>
      </c>
      <c r="AI6" s="4">
        <v>6.85</v>
      </c>
      <c r="AJ6" s="4">
        <v>6.02</v>
      </c>
      <c r="AK6" s="4">
        <v>5.76</v>
      </c>
      <c r="AL6" s="4">
        <v>5.95</v>
      </c>
      <c r="AM6" s="4">
        <v>5.57</v>
      </c>
      <c r="AN6" s="4">
        <v>5.85</v>
      </c>
      <c r="AO6" s="4">
        <v>5.68</v>
      </c>
      <c r="AP6" s="4">
        <v>5.43</v>
      </c>
      <c r="AQ6" s="4">
        <v>6.13</v>
      </c>
      <c r="AR6" s="4">
        <v>5.23</v>
      </c>
      <c r="AS6" s="4">
        <v>5.07</v>
      </c>
      <c r="AT6" s="4">
        <v>5.45</v>
      </c>
      <c r="AU6" s="4">
        <v>6.33</v>
      </c>
      <c r="AV6" s="4">
        <v>6.28</v>
      </c>
      <c r="AW6" s="4">
        <v>7.4</v>
      </c>
      <c r="AX6" s="4">
        <v>6.08</v>
      </c>
      <c r="AY6" s="4">
        <v>5.45</v>
      </c>
      <c r="AZ6" s="4">
        <v>6.14</v>
      </c>
      <c r="BA6" s="4">
        <v>5.48</v>
      </c>
      <c r="BB6" s="4">
        <v>5.98</v>
      </c>
      <c r="BC6" s="4">
        <v>6.73</v>
      </c>
      <c r="BD6" s="4">
        <v>9.67</v>
      </c>
      <c r="BE6" s="4">
        <v>13.4</v>
      </c>
      <c r="BF6" s="4">
        <v>5.86</v>
      </c>
      <c r="BG6" s="4">
        <v>4.8</v>
      </c>
      <c r="BH6" s="4">
        <v>23.5</v>
      </c>
      <c r="BI6" s="4">
        <v>16.940000000000001</v>
      </c>
      <c r="BJ6" s="4">
        <v>25.76</v>
      </c>
    </row>
    <row r="7" spans="1:62" x14ac:dyDescent="0.2">
      <c r="A7" s="1">
        <v>2018</v>
      </c>
      <c r="B7" s="4">
        <v>13.19</v>
      </c>
      <c r="C7" s="4">
        <v>13.77</v>
      </c>
      <c r="D7" s="4">
        <v>9.32</v>
      </c>
      <c r="E7" s="4">
        <v>14.89</v>
      </c>
      <c r="F7" s="4">
        <v>13.42</v>
      </c>
      <c r="G7" s="4">
        <v>15.39</v>
      </c>
      <c r="H7" s="4">
        <v>10.66</v>
      </c>
      <c r="I7" s="4">
        <v>6.96</v>
      </c>
      <c r="J7" s="4">
        <v>10.07</v>
      </c>
      <c r="K7" s="4">
        <v>6.02</v>
      </c>
      <c r="L7" s="4">
        <v>6.84</v>
      </c>
      <c r="M7" s="4">
        <v>7.1</v>
      </c>
      <c r="N7" s="4">
        <v>6.8</v>
      </c>
      <c r="O7" s="4">
        <v>7.38</v>
      </c>
      <c r="P7" s="4">
        <v>7.1</v>
      </c>
      <c r="Q7" s="4">
        <v>7.01</v>
      </c>
      <c r="R7" s="4">
        <v>7.33</v>
      </c>
      <c r="S7" s="4">
        <v>7.28</v>
      </c>
      <c r="T7" s="4">
        <v>6.45</v>
      </c>
      <c r="U7" s="4">
        <v>7.6</v>
      </c>
      <c r="V7" s="4">
        <v>7.52</v>
      </c>
      <c r="W7" s="4">
        <v>7.22</v>
      </c>
      <c r="X7" s="4">
        <v>7.6</v>
      </c>
      <c r="Y7" s="4">
        <v>7.98</v>
      </c>
      <c r="Z7" s="4">
        <v>7.77</v>
      </c>
      <c r="AA7" s="4">
        <v>6.52</v>
      </c>
      <c r="AB7" s="4">
        <v>7.95</v>
      </c>
      <c r="AC7" s="4">
        <v>8.3000000000000007</v>
      </c>
      <c r="AD7" s="4">
        <v>7.65</v>
      </c>
      <c r="AE7" s="4">
        <v>6</v>
      </c>
      <c r="AF7" s="4">
        <v>8.23</v>
      </c>
      <c r="AG7" s="4">
        <v>6.33</v>
      </c>
      <c r="AH7" s="4">
        <v>6.1</v>
      </c>
      <c r="AI7" s="4">
        <v>6.86</v>
      </c>
      <c r="AJ7" s="4">
        <v>6.4</v>
      </c>
      <c r="AK7" s="4">
        <v>5.85</v>
      </c>
      <c r="AL7" s="4">
        <v>6.01</v>
      </c>
      <c r="AM7" s="4">
        <v>5.68</v>
      </c>
      <c r="AN7" s="4">
        <v>6</v>
      </c>
      <c r="AO7" s="4">
        <v>5.68</v>
      </c>
      <c r="AP7" s="4">
        <v>5.4</v>
      </c>
      <c r="AQ7" s="4">
        <v>5.64</v>
      </c>
      <c r="AR7" s="4">
        <v>5.35</v>
      </c>
      <c r="AS7" s="4">
        <v>5.34</v>
      </c>
      <c r="AT7" s="4">
        <v>5.39</v>
      </c>
      <c r="AU7" s="4">
        <v>6.45</v>
      </c>
      <c r="AV7" s="4">
        <v>6.55</v>
      </c>
      <c r="AW7" s="4">
        <v>7.47</v>
      </c>
      <c r="AX7" s="4">
        <v>6.47</v>
      </c>
      <c r="AY7" s="4">
        <v>5.19</v>
      </c>
      <c r="AZ7" s="4">
        <v>6.1</v>
      </c>
      <c r="BA7" s="4">
        <v>5.84</v>
      </c>
      <c r="BB7" s="4">
        <v>5.9</v>
      </c>
      <c r="BC7" s="4">
        <v>6.71</v>
      </c>
      <c r="BD7" s="4">
        <v>9.64</v>
      </c>
      <c r="BE7" s="4">
        <v>13.2</v>
      </c>
      <c r="BF7" s="4">
        <v>5.86</v>
      </c>
      <c r="BG7" s="4">
        <v>4.71</v>
      </c>
      <c r="BH7" s="4">
        <v>23.64</v>
      </c>
      <c r="BI7" s="4">
        <v>17.100000000000001</v>
      </c>
      <c r="BJ7" s="4">
        <v>26.1</v>
      </c>
    </row>
    <row r="8" spans="1:62" x14ac:dyDescent="0.2">
      <c r="A8" s="1">
        <v>2017</v>
      </c>
      <c r="B8" s="4">
        <v>12.54</v>
      </c>
      <c r="C8" s="4">
        <v>13.1</v>
      </c>
      <c r="D8" s="4">
        <v>9.1999999999999993</v>
      </c>
      <c r="E8" s="4">
        <v>13.88</v>
      </c>
      <c r="F8" s="4">
        <v>12.34</v>
      </c>
      <c r="G8" s="4">
        <v>14.57</v>
      </c>
      <c r="H8" s="4">
        <v>10.210000000000001</v>
      </c>
      <c r="I8" s="4">
        <v>6.9</v>
      </c>
      <c r="J8" s="4">
        <v>10.119999999999999</v>
      </c>
      <c r="K8" s="4">
        <v>5.92</v>
      </c>
      <c r="L8" s="4">
        <v>6.77</v>
      </c>
      <c r="M8" s="4">
        <v>7.08</v>
      </c>
      <c r="N8" s="4">
        <v>6.47</v>
      </c>
      <c r="O8" s="4">
        <v>7.54</v>
      </c>
      <c r="P8" s="4">
        <v>7.19</v>
      </c>
      <c r="Q8" s="4">
        <v>6.92</v>
      </c>
      <c r="R8" s="4">
        <v>7.49</v>
      </c>
      <c r="S8" s="4">
        <v>7.17</v>
      </c>
      <c r="T8" s="4">
        <v>6.21</v>
      </c>
      <c r="U8" s="4">
        <v>7.54</v>
      </c>
      <c r="V8" s="4">
        <v>7.37</v>
      </c>
      <c r="W8" s="4">
        <v>7.33</v>
      </c>
      <c r="X8" s="4">
        <v>7.66</v>
      </c>
      <c r="Y8" s="4">
        <v>7.63</v>
      </c>
      <c r="Z8" s="4">
        <v>7.84</v>
      </c>
      <c r="AA8" s="4">
        <v>6.5</v>
      </c>
      <c r="AB8" s="4">
        <v>7.78</v>
      </c>
      <c r="AC8" s="4">
        <v>8.23</v>
      </c>
      <c r="AD8" s="4">
        <v>7.83</v>
      </c>
      <c r="AE8" s="4">
        <v>5.96</v>
      </c>
      <c r="AF8" s="4">
        <v>8.3699999999999992</v>
      </c>
      <c r="AG8" s="4">
        <v>6.2</v>
      </c>
      <c r="AH8" s="4">
        <v>6.19</v>
      </c>
      <c r="AI8" s="4">
        <v>6.51</v>
      </c>
      <c r="AJ8" s="4">
        <v>6.64</v>
      </c>
      <c r="AK8" s="4">
        <v>5.93</v>
      </c>
      <c r="AL8" s="4">
        <v>6.16</v>
      </c>
      <c r="AM8" s="4">
        <v>5.72</v>
      </c>
      <c r="AN8" s="4">
        <v>5.99</v>
      </c>
      <c r="AO8" s="4">
        <v>5.83</v>
      </c>
      <c r="AP8" s="4">
        <v>5.45</v>
      </c>
      <c r="AQ8" s="4">
        <v>6.07</v>
      </c>
      <c r="AR8" s="4">
        <v>5.48</v>
      </c>
      <c r="AS8" s="4">
        <v>5.42</v>
      </c>
      <c r="AT8" s="4">
        <v>5.35</v>
      </c>
      <c r="AU8" s="4">
        <v>6.55</v>
      </c>
      <c r="AV8" s="4">
        <v>6.45</v>
      </c>
      <c r="AW8" s="4">
        <v>7.5</v>
      </c>
      <c r="AX8" s="4">
        <v>6.66</v>
      </c>
      <c r="AY8" s="4">
        <v>5.25</v>
      </c>
      <c r="AZ8" s="4">
        <v>6.15</v>
      </c>
      <c r="BA8" s="4">
        <v>6.15</v>
      </c>
      <c r="BB8" s="4">
        <v>6.13</v>
      </c>
      <c r="BC8" s="4">
        <v>6.92</v>
      </c>
      <c r="BD8" s="4">
        <v>9.36</v>
      </c>
      <c r="BE8" s="4">
        <v>12.73</v>
      </c>
      <c r="BF8" s="4">
        <v>5.98</v>
      </c>
      <c r="BG8" s="4">
        <v>4.5999999999999996</v>
      </c>
      <c r="BH8" s="4">
        <v>21.06</v>
      </c>
      <c r="BI8" s="4">
        <v>16.34</v>
      </c>
      <c r="BJ8" s="4">
        <v>22.92</v>
      </c>
    </row>
    <row r="9" spans="1:62" x14ac:dyDescent="0.2">
      <c r="A9" s="1">
        <v>2016</v>
      </c>
      <c r="B9" s="4">
        <v>12.2</v>
      </c>
      <c r="C9" s="4">
        <v>12.81</v>
      </c>
      <c r="D9" s="4">
        <v>8.9600000000000009</v>
      </c>
      <c r="E9" s="4">
        <v>13.38</v>
      </c>
      <c r="F9" s="4">
        <v>12.34</v>
      </c>
      <c r="G9" s="4">
        <v>13.48</v>
      </c>
      <c r="H9" s="4">
        <v>10.23</v>
      </c>
      <c r="I9" s="4">
        <v>7.03</v>
      </c>
      <c r="J9" s="4">
        <v>10.16</v>
      </c>
      <c r="K9" s="4">
        <v>6.03</v>
      </c>
      <c r="L9" s="4">
        <v>6.92</v>
      </c>
      <c r="M9" s="4">
        <v>6.92</v>
      </c>
      <c r="N9" s="4">
        <v>6.51</v>
      </c>
      <c r="O9" s="4">
        <v>6.97</v>
      </c>
      <c r="P9" s="4">
        <v>6.91</v>
      </c>
      <c r="Q9" s="4">
        <v>6.98</v>
      </c>
      <c r="R9" s="4">
        <v>7.49</v>
      </c>
      <c r="S9" s="4">
        <v>7.12</v>
      </c>
      <c r="T9" s="4">
        <v>6.05</v>
      </c>
      <c r="U9" s="4">
        <v>7.49</v>
      </c>
      <c r="V9" s="4">
        <v>7.37</v>
      </c>
      <c r="W9" s="4">
        <v>7.12</v>
      </c>
      <c r="X9" s="4">
        <v>7.69</v>
      </c>
      <c r="Y9" s="4">
        <v>7.98</v>
      </c>
      <c r="Z9" s="4">
        <v>7.57</v>
      </c>
      <c r="AA9" s="4">
        <v>6.45</v>
      </c>
      <c r="AB9" s="4">
        <v>8.11</v>
      </c>
      <c r="AC9" s="4">
        <v>8.8000000000000007</v>
      </c>
      <c r="AD9" s="4">
        <v>7.69</v>
      </c>
      <c r="AE9" s="4">
        <v>5.84</v>
      </c>
      <c r="AF9" s="4">
        <v>7.89</v>
      </c>
      <c r="AG9" s="4">
        <v>6.31</v>
      </c>
      <c r="AH9" s="4">
        <v>6.09</v>
      </c>
      <c r="AI9" s="4">
        <v>6.56</v>
      </c>
      <c r="AJ9" s="4">
        <v>6.57</v>
      </c>
      <c r="AK9" s="4">
        <v>5.81</v>
      </c>
      <c r="AL9" s="4">
        <v>6.04</v>
      </c>
      <c r="AM9" s="4">
        <v>5.67</v>
      </c>
      <c r="AN9" s="4">
        <v>5.79</v>
      </c>
      <c r="AO9" s="4">
        <v>5.68</v>
      </c>
      <c r="AP9" s="4">
        <v>5.31</v>
      </c>
      <c r="AQ9" s="4">
        <v>6.08</v>
      </c>
      <c r="AR9" s="4">
        <v>5.08</v>
      </c>
      <c r="AS9" s="4">
        <v>5.0199999999999996</v>
      </c>
      <c r="AT9" s="4">
        <v>5.33</v>
      </c>
      <c r="AU9" s="4">
        <v>6.38</v>
      </c>
      <c r="AV9" s="4">
        <v>6.07</v>
      </c>
      <c r="AW9" s="4">
        <v>7.35</v>
      </c>
      <c r="AX9" s="4">
        <v>6.55</v>
      </c>
      <c r="AY9" s="4">
        <v>5.0599999999999996</v>
      </c>
      <c r="AZ9" s="4">
        <v>5.88</v>
      </c>
      <c r="BA9" s="4">
        <v>5.84</v>
      </c>
      <c r="BB9" s="4">
        <v>6.33</v>
      </c>
      <c r="BC9" s="4">
        <v>6.92</v>
      </c>
      <c r="BD9" s="4">
        <v>8.94</v>
      </c>
      <c r="BE9" s="4">
        <v>11.92</v>
      </c>
      <c r="BF9" s="4">
        <v>6.05</v>
      </c>
      <c r="BG9" s="4">
        <v>4.43</v>
      </c>
      <c r="BH9" s="4">
        <v>19.21</v>
      </c>
      <c r="BI9" s="4">
        <v>15.22</v>
      </c>
      <c r="BJ9" s="4">
        <v>20.69</v>
      </c>
    </row>
    <row r="10" spans="1:62" x14ac:dyDescent="0.2">
      <c r="A10" s="1">
        <v>2015</v>
      </c>
      <c r="B10" s="4">
        <v>12.34</v>
      </c>
      <c r="C10" s="4">
        <v>12.95</v>
      </c>
      <c r="D10" s="4">
        <v>9.0500000000000007</v>
      </c>
      <c r="E10" s="4">
        <v>13.54</v>
      </c>
      <c r="F10" s="4">
        <v>12.74</v>
      </c>
      <c r="G10" s="4">
        <v>13.76</v>
      </c>
      <c r="H10" s="4">
        <v>10.27</v>
      </c>
      <c r="I10" s="4">
        <v>7.32</v>
      </c>
      <c r="J10" s="4">
        <v>10.64</v>
      </c>
      <c r="K10" s="4">
        <v>6.31</v>
      </c>
      <c r="L10" s="4">
        <v>7.2</v>
      </c>
      <c r="M10" s="4">
        <v>6.97</v>
      </c>
      <c r="N10" s="4">
        <v>6.67</v>
      </c>
      <c r="O10" s="4">
        <v>6.86</v>
      </c>
      <c r="P10" s="4">
        <v>7.02</v>
      </c>
      <c r="Q10" s="4">
        <v>7.02</v>
      </c>
      <c r="R10" s="4">
        <v>7.58</v>
      </c>
      <c r="S10" s="4">
        <v>6.88</v>
      </c>
      <c r="T10" s="4">
        <v>5.9</v>
      </c>
      <c r="U10" s="4">
        <v>7.61</v>
      </c>
      <c r="V10" s="4">
        <v>7.02</v>
      </c>
      <c r="W10" s="4">
        <v>6.44</v>
      </c>
      <c r="X10" s="4">
        <v>7.59</v>
      </c>
      <c r="Y10" s="4">
        <v>8.07</v>
      </c>
      <c r="Z10" s="4">
        <v>7.37</v>
      </c>
      <c r="AA10" s="4">
        <v>6.58</v>
      </c>
      <c r="AB10" s="4">
        <v>8.2799999999999994</v>
      </c>
      <c r="AC10" s="4">
        <v>8.7799999999999994</v>
      </c>
      <c r="AD10" s="4">
        <v>8.2200000000000006</v>
      </c>
      <c r="AE10" s="4">
        <v>5.87</v>
      </c>
      <c r="AF10" s="4">
        <v>8.5299999999999994</v>
      </c>
      <c r="AG10" s="4">
        <v>6.51</v>
      </c>
      <c r="AH10" s="4">
        <v>6.05</v>
      </c>
      <c r="AI10" s="4">
        <v>6.95</v>
      </c>
      <c r="AJ10" s="4">
        <v>6.09</v>
      </c>
      <c r="AK10" s="4">
        <v>5.98</v>
      </c>
      <c r="AL10" s="4">
        <v>6.03</v>
      </c>
      <c r="AM10" s="4">
        <v>5.48</v>
      </c>
      <c r="AN10" s="4">
        <v>6.56</v>
      </c>
      <c r="AO10" s="4">
        <v>6.17</v>
      </c>
      <c r="AP10" s="4">
        <v>5.59</v>
      </c>
      <c r="AQ10" s="4">
        <v>6.23</v>
      </c>
      <c r="AR10" s="4">
        <v>5.41</v>
      </c>
      <c r="AS10" s="4">
        <v>5.35</v>
      </c>
      <c r="AT10" s="4">
        <v>5.59</v>
      </c>
      <c r="AU10" s="4">
        <v>6.59</v>
      </c>
      <c r="AV10" s="4">
        <v>6.26</v>
      </c>
      <c r="AW10" s="4">
        <v>7.4</v>
      </c>
      <c r="AX10" s="4">
        <v>6.6</v>
      </c>
      <c r="AY10" s="4">
        <v>5.32</v>
      </c>
      <c r="AZ10" s="4">
        <v>6.75</v>
      </c>
      <c r="BA10" s="4">
        <v>6.33</v>
      </c>
      <c r="BB10" s="4">
        <v>6.17</v>
      </c>
      <c r="BC10" s="4">
        <v>6.76</v>
      </c>
      <c r="BD10" s="4">
        <v>9.0299999999999994</v>
      </c>
      <c r="BE10" s="4">
        <v>12.17</v>
      </c>
      <c r="BF10" s="4">
        <v>5.97</v>
      </c>
      <c r="BG10" s="4">
        <v>4.3499999999999996</v>
      </c>
      <c r="BH10" s="4">
        <v>20.77</v>
      </c>
      <c r="BI10" s="4">
        <v>14.53</v>
      </c>
      <c r="BJ10" s="4">
        <v>23.06</v>
      </c>
    </row>
    <row r="11" spans="1:62" x14ac:dyDescent="0.2">
      <c r="A11" s="1">
        <v>2014</v>
      </c>
      <c r="B11" s="4">
        <v>11.84</v>
      </c>
      <c r="C11" s="4">
        <v>12.92</v>
      </c>
      <c r="D11" s="4">
        <v>8.9499999999999993</v>
      </c>
      <c r="E11" s="4">
        <v>12.74</v>
      </c>
      <c r="F11" s="4">
        <v>11.93</v>
      </c>
      <c r="G11" s="4">
        <v>12.86</v>
      </c>
      <c r="H11" s="4">
        <v>10.23</v>
      </c>
      <c r="I11" s="4">
        <v>7.61</v>
      </c>
      <c r="J11" s="4">
        <v>11.38</v>
      </c>
      <c r="K11" s="4">
        <v>6.58</v>
      </c>
      <c r="L11" s="4">
        <v>7.41</v>
      </c>
      <c r="M11" s="4">
        <v>7.07</v>
      </c>
      <c r="N11" s="4">
        <v>6.85</v>
      </c>
      <c r="O11" s="4">
        <v>6.97</v>
      </c>
      <c r="P11" s="4">
        <v>7.68</v>
      </c>
      <c r="Q11" s="4">
        <v>6.77</v>
      </c>
      <c r="R11" s="4">
        <v>7.52</v>
      </c>
      <c r="S11" s="4">
        <v>6.73</v>
      </c>
      <c r="T11" s="4">
        <v>5.71</v>
      </c>
      <c r="U11" s="4">
        <v>7.8</v>
      </c>
      <c r="V11" s="4">
        <v>6.72</v>
      </c>
      <c r="W11" s="4">
        <v>6.36</v>
      </c>
      <c r="X11" s="4">
        <v>7.47</v>
      </c>
      <c r="Y11" s="4">
        <v>7.62</v>
      </c>
      <c r="Z11" s="4">
        <v>6.99</v>
      </c>
      <c r="AA11" s="4">
        <v>6.75</v>
      </c>
      <c r="AB11" s="4">
        <v>8.58</v>
      </c>
      <c r="AC11" s="4">
        <v>8.41</v>
      </c>
      <c r="AD11" s="4">
        <v>7.9</v>
      </c>
      <c r="AE11" s="4">
        <v>6.64</v>
      </c>
      <c r="AF11" s="4">
        <v>9.0399999999999991</v>
      </c>
      <c r="AG11" s="4">
        <v>6.5</v>
      </c>
      <c r="AH11" s="4">
        <v>6.29</v>
      </c>
      <c r="AI11" s="4">
        <v>6.89</v>
      </c>
      <c r="AJ11" s="4">
        <v>5.87</v>
      </c>
      <c r="AK11" s="4">
        <v>6.13</v>
      </c>
      <c r="AL11" s="4">
        <v>6.15</v>
      </c>
      <c r="AM11" s="4">
        <v>5.68</v>
      </c>
      <c r="AN11" s="4">
        <v>6.6</v>
      </c>
      <c r="AO11" s="4">
        <v>6.4</v>
      </c>
      <c r="AP11" s="4">
        <v>6.1</v>
      </c>
      <c r="AQ11" s="4">
        <v>6.02</v>
      </c>
      <c r="AR11" s="4">
        <v>6.05</v>
      </c>
      <c r="AS11" s="4">
        <v>5.85</v>
      </c>
      <c r="AT11" s="4">
        <v>6.16</v>
      </c>
      <c r="AU11" s="4">
        <v>6.68</v>
      </c>
      <c r="AV11" s="4">
        <v>6.46</v>
      </c>
      <c r="AW11" s="4">
        <v>7.47</v>
      </c>
      <c r="AX11" s="4">
        <v>6.4</v>
      </c>
      <c r="AY11" s="4">
        <v>5.49</v>
      </c>
      <c r="AZ11" s="4">
        <v>7.12</v>
      </c>
      <c r="BA11" s="4">
        <v>6.61</v>
      </c>
      <c r="BB11" s="4">
        <v>6.08</v>
      </c>
      <c r="BC11" s="4">
        <v>6.61</v>
      </c>
      <c r="BD11" s="4">
        <v>9.08</v>
      </c>
      <c r="BE11" s="4">
        <v>12.34</v>
      </c>
      <c r="BF11" s="4">
        <v>5.97</v>
      </c>
      <c r="BG11" s="4">
        <v>4.32</v>
      </c>
      <c r="BH11" s="4">
        <v>26.3</v>
      </c>
      <c r="BI11" s="4">
        <v>15.66</v>
      </c>
      <c r="BJ11" s="4">
        <v>30.22</v>
      </c>
    </row>
    <row r="12" spans="1:62" x14ac:dyDescent="0.2">
      <c r="A12" s="1">
        <v>2013</v>
      </c>
      <c r="B12" s="4">
        <v>12.25</v>
      </c>
      <c r="C12" s="4">
        <v>12.61</v>
      </c>
      <c r="D12" s="4">
        <v>8.34</v>
      </c>
      <c r="E12" s="4">
        <v>13.18</v>
      </c>
      <c r="F12" s="4">
        <v>11.4</v>
      </c>
      <c r="G12" s="4">
        <v>11.82</v>
      </c>
      <c r="H12" s="4">
        <v>10.84</v>
      </c>
      <c r="I12" s="4">
        <v>7.27</v>
      </c>
      <c r="J12" s="4">
        <v>10.8</v>
      </c>
      <c r="K12" s="4">
        <v>6.58</v>
      </c>
      <c r="L12" s="4">
        <v>6.97</v>
      </c>
      <c r="M12" s="4">
        <v>6.65</v>
      </c>
      <c r="N12" s="4">
        <v>5.94</v>
      </c>
      <c r="O12" s="4">
        <v>6.7</v>
      </c>
      <c r="P12" s="4">
        <v>7.72</v>
      </c>
      <c r="Q12" s="4">
        <v>6.22</v>
      </c>
      <c r="R12" s="4">
        <v>7.4</v>
      </c>
      <c r="S12" s="4">
        <v>6.67</v>
      </c>
      <c r="T12" s="4">
        <v>5.62</v>
      </c>
      <c r="U12" s="4">
        <v>7.39</v>
      </c>
      <c r="V12" s="4">
        <v>6.98</v>
      </c>
      <c r="W12" s="4">
        <v>6.29</v>
      </c>
      <c r="X12" s="4">
        <v>7.44</v>
      </c>
      <c r="Y12" s="4">
        <v>7.13</v>
      </c>
      <c r="Z12" s="4">
        <v>6.97</v>
      </c>
      <c r="AA12" s="4">
        <v>6.55</v>
      </c>
      <c r="AB12" s="4">
        <v>8.43</v>
      </c>
      <c r="AC12" s="4">
        <v>5.54</v>
      </c>
      <c r="AD12" s="4">
        <v>7.61</v>
      </c>
      <c r="AE12" s="4">
        <v>6.27</v>
      </c>
      <c r="AF12" s="4">
        <v>8.36</v>
      </c>
      <c r="AG12" s="4">
        <v>6.45</v>
      </c>
      <c r="AH12" s="4">
        <v>6.01</v>
      </c>
      <c r="AI12" s="4">
        <v>6.63</v>
      </c>
      <c r="AJ12" s="4">
        <v>6.2</v>
      </c>
      <c r="AK12" s="4">
        <v>5.98</v>
      </c>
      <c r="AL12" s="4">
        <v>5.95</v>
      </c>
      <c r="AM12" s="4">
        <v>5.66</v>
      </c>
      <c r="AN12" s="4">
        <v>6.34</v>
      </c>
      <c r="AO12" s="4">
        <v>6.29</v>
      </c>
      <c r="AP12" s="4">
        <v>5.82</v>
      </c>
      <c r="AQ12" s="4">
        <v>6.04</v>
      </c>
      <c r="AR12" s="4">
        <v>5.92</v>
      </c>
      <c r="AS12" s="4">
        <v>5.49</v>
      </c>
      <c r="AT12" s="4">
        <v>5.81</v>
      </c>
      <c r="AU12" s="4">
        <v>6.48</v>
      </c>
      <c r="AV12" s="4">
        <v>6.66</v>
      </c>
      <c r="AW12" s="4">
        <v>7.34</v>
      </c>
      <c r="AX12" s="4">
        <v>6.09</v>
      </c>
      <c r="AY12" s="4">
        <v>5.43</v>
      </c>
      <c r="AZ12" s="4">
        <v>6.52</v>
      </c>
      <c r="BA12" s="4">
        <v>6.36</v>
      </c>
      <c r="BB12" s="4">
        <v>5.87</v>
      </c>
      <c r="BC12" s="4">
        <v>6.42</v>
      </c>
      <c r="BD12" s="4">
        <v>8.61</v>
      </c>
      <c r="BE12" s="4">
        <v>11.44</v>
      </c>
      <c r="BF12" s="4">
        <v>5.8</v>
      </c>
      <c r="BG12" s="4">
        <v>4.2300000000000004</v>
      </c>
      <c r="BH12" s="4">
        <v>26.08</v>
      </c>
      <c r="BI12" s="4">
        <v>15.83</v>
      </c>
      <c r="BJ12" s="4">
        <v>29.87</v>
      </c>
    </row>
    <row r="13" spans="1:62" x14ac:dyDescent="0.2">
      <c r="A13" s="1">
        <v>2012</v>
      </c>
      <c r="B13" s="4">
        <v>11.83</v>
      </c>
      <c r="C13" s="4">
        <v>12.67</v>
      </c>
      <c r="D13" s="4">
        <v>7.98</v>
      </c>
      <c r="E13" s="4">
        <v>12.57</v>
      </c>
      <c r="F13" s="4">
        <v>11.83</v>
      </c>
      <c r="G13" s="4">
        <v>10.68</v>
      </c>
      <c r="H13" s="4">
        <v>9.98</v>
      </c>
      <c r="I13" s="4">
        <v>7.49</v>
      </c>
      <c r="J13" s="4">
        <v>10.52</v>
      </c>
      <c r="K13" s="4">
        <v>6.7</v>
      </c>
      <c r="L13" s="4">
        <v>7.23</v>
      </c>
      <c r="M13" s="4">
        <v>6.51</v>
      </c>
      <c r="N13" s="4">
        <v>5.8</v>
      </c>
      <c r="O13" s="4">
        <v>6.34</v>
      </c>
      <c r="P13" s="4">
        <v>7.62</v>
      </c>
      <c r="Q13" s="4">
        <v>6.24</v>
      </c>
      <c r="R13" s="4">
        <v>7.34</v>
      </c>
      <c r="S13" s="4">
        <v>6.28</v>
      </c>
      <c r="T13" s="4">
        <v>5.3</v>
      </c>
      <c r="U13" s="4">
        <v>7.09</v>
      </c>
      <c r="V13" s="4">
        <v>6.54</v>
      </c>
      <c r="W13" s="4">
        <v>5.89</v>
      </c>
      <c r="X13" s="4">
        <v>7.01</v>
      </c>
      <c r="Y13" s="4">
        <v>6.55</v>
      </c>
      <c r="Z13" s="4">
        <v>6.57</v>
      </c>
      <c r="AA13" s="4">
        <v>6.55</v>
      </c>
      <c r="AB13" s="4">
        <v>8.36</v>
      </c>
      <c r="AC13" s="4">
        <v>5.46</v>
      </c>
      <c r="AD13" s="4">
        <v>8.0399999999999991</v>
      </c>
      <c r="AE13" s="4">
        <v>5.98</v>
      </c>
      <c r="AF13" s="4">
        <v>8.09</v>
      </c>
      <c r="AG13" s="4">
        <v>6.42</v>
      </c>
      <c r="AH13" s="4">
        <v>6.02</v>
      </c>
      <c r="AI13" s="4">
        <v>6.72</v>
      </c>
      <c r="AJ13" s="4">
        <v>6.33</v>
      </c>
      <c r="AK13" s="4">
        <v>6.11</v>
      </c>
      <c r="AL13" s="4">
        <v>6.22</v>
      </c>
      <c r="AM13" s="4">
        <v>5.35</v>
      </c>
      <c r="AN13" s="4">
        <v>6.24</v>
      </c>
      <c r="AO13" s="4">
        <v>7.08</v>
      </c>
      <c r="AP13" s="4">
        <v>5.39</v>
      </c>
      <c r="AQ13" s="4">
        <v>5.76</v>
      </c>
      <c r="AR13" s="4">
        <v>4.76</v>
      </c>
      <c r="AS13" s="4">
        <v>5.09</v>
      </c>
      <c r="AT13" s="4">
        <v>5.57</v>
      </c>
      <c r="AU13" s="4">
        <v>6.18</v>
      </c>
      <c r="AV13" s="4">
        <v>6.53</v>
      </c>
      <c r="AW13" s="4">
        <v>6.95</v>
      </c>
      <c r="AX13" s="4">
        <v>5.48</v>
      </c>
      <c r="AY13" s="4">
        <v>5.0999999999999996</v>
      </c>
      <c r="AZ13" s="4">
        <v>6.48</v>
      </c>
      <c r="BA13" s="4">
        <v>5.83</v>
      </c>
      <c r="BB13" s="4">
        <v>5.62</v>
      </c>
      <c r="BC13" s="4">
        <v>6.03</v>
      </c>
      <c r="BD13" s="4">
        <v>7.78</v>
      </c>
      <c r="BE13" s="4">
        <v>10.49</v>
      </c>
      <c r="BF13" s="4">
        <v>5.59</v>
      </c>
      <c r="BG13" s="4">
        <v>4.13</v>
      </c>
      <c r="BH13" s="4">
        <v>26.99</v>
      </c>
      <c r="BI13" s="4">
        <v>16.82</v>
      </c>
      <c r="BJ13" s="4">
        <v>30.82</v>
      </c>
    </row>
    <row r="14" spans="1:62" x14ac:dyDescent="0.2">
      <c r="A14" s="1">
        <v>2011</v>
      </c>
      <c r="B14" s="4">
        <v>12.55</v>
      </c>
      <c r="C14" s="4">
        <v>13.24</v>
      </c>
      <c r="D14" s="4">
        <v>8.8800000000000008</v>
      </c>
      <c r="E14" s="4">
        <v>13.38</v>
      </c>
      <c r="F14" s="4">
        <v>12.27</v>
      </c>
      <c r="G14" s="4">
        <v>11.27</v>
      </c>
      <c r="H14" s="4">
        <v>9.83</v>
      </c>
      <c r="I14" s="4">
        <v>8.17</v>
      </c>
      <c r="J14" s="4">
        <v>11.43</v>
      </c>
      <c r="K14" s="4">
        <v>7.83</v>
      </c>
      <c r="L14" s="4">
        <v>7.73</v>
      </c>
      <c r="M14" s="4">
        <v>6.53</v>
      </c>
      <c r="N14" s="4">
        <v>6.42</v>
      </c>
      <c r="O14" s="4">
        <v>6.17</v>
      </c>
      <c r="P14" s="4">
        <v>7.32</v>
      </c>
      <c r="Q14" s="4">
        <v>6.12</v>
      </c>
      <c r="R14" s="4">
        <v>7.33</v>
      </c>
      <c r="S14" s="4">
        <v>6.08</v>
      </c>
      <c r="T14" s="4">
        <v>5.21</v>
      </c>
      <c r="U14" s="4">
        <v>6.71</v>
      </c>
      <c r="V14" s="4">
        <v>6.47</v>
      </c>
      <c r="W14" s="4">
        <v>5.85</v>
      </c>
      <c r="X14" s="4">
        <v>6.43</v>
      </c>
      <c r="Y14" s="4">
        <v>6.24</v>
      </c>
      <c r="Z14" s="4">
        <v>6.2</v>
      </c>
      <c r="AA14" s="4">
        <v>6.66</v>
      </c>
      <c r="AB14" s="4">
        <v>8.91</v>
      </c>
      <c r="AC14" s="4">
        <v>6.89</v>
      </c>
      <c r="AD14" s="4">
        <v>8.5500000000000007</v>
      </c>
      <c r="AE14" s="4">
        <v>6.6</v>
      </c>
      <c r="AF14" s="4">
        <v>8.76</v>
      </c>
      <c r="AG14" s="4">
        <v>6.01</v>
      </c>
      <c r="AH14" s="4">
        <v>5.94</v>
      </c>
      <c r="AI14" s="4">
        <v>6.49</v>
      </c>
      <c r="AJ14" s="4">
        <v>6.18</v>
      </c>
      <c r="AK14" s="4">
        <v>6.19</v>
      </c>
      <c r="AL14" s="4">
        <v>6.25</v>
      </c>
      <c r="AM14" s="4">
        <v>5.33</v>
      </c>
      <c r="AN14" s="4">
        <v>6.53</v>
      </c>
      <c r="AO14" s="4">
        <v>7.23</v>
      </c>
      <c r="AP14" s="4">
        <v>6</v>
      </c>
      <c r="AQ14" s="4">
        <v>5.63</v>
      </c>
      <c r="AR14" s="4">
        <v>5.69</v>
      </c>
      <c r="AS14" s="4">
        <v>5.46</v>
      </c>
      <c r="AT14" s="4">
        <v>6.24</v>
      </c>
      <c r="AU14" s="4">
        <v>6.08</v>
      </c>
      <c r="AV14" s="4">
        <v>6.55</v>
      </c>
      <c r="AW14" s="4">
        <v>7.06</v>
      </c>
      <c r="AX14" s="4">
        <v>5.0999999999999996</v>
      </c>
      <c r="AY14" s="4">
        <v>5.27</v>
      </c>
      <c r="AZ14" s="4">
        <v>6.65</v>
      </c>
      <c r="BA14" s="4">
        <v>6.06</v>
      </c>
      <c r="BB14" s="4">
        <v>5.0999999999999996</v>
      </c>
      <c r="BC14" s="4">
        <v>5.41</v>
      </c>
      <c r="BD14" s="4">
        <v>7.62</v>
      </c>
      <c r="BE14" s="4">
        <v>10.11</v>
      </c>
      <c r="BF14" s="4">
        <v>5.47</v>
      </c>
      <c r="BG14" s="4">
        <v>4.09</v>
      </c>
      <c r="BH14" s="4">
        <v>25.02</v>
      </c>
      <c r="BI14" s="4">
        <v>15.71</v>
      </c>
      <c r="BJ14" s="4">
        <v>28.4</v>
      </c>
    </row>
    <row r="15" spans="1:62" x14ac:dyDescent="0.2">
      <c r="A15" s="1">
        <v>2010</v>
      </c>
      <c r="B15" s="4">
        <v>12.98</v>
      </c>
      <c r="C15" s="4">
        <v>14.51</v>
      </c>
      <c r="D15" s="4">
        <v>9.17</v>
      </c>
      <c r="E15" s="4">
        <v>13.71</v>
      </c>
      <c r="F15" s="4">
        <v>12.76</v>
      </c>
      <c r="G15" s="4">
        <v>11.83</v>
      </c>
      <c r="H15" s="4">
        <v>9.5299999999999994</v>
      </c>
      <c r="I15" s="4">
        <v>8.4</v>
      </c>
      <c r="J15" s="4">
        <v>11.81</v>
      </c>
      <c r="K15" s="4">
        <v>8.7899999999999991</v>
      </c>
      <c r="L15" s="4">
        <v>7.66</v>
      </c>
      <c r="M15" s="4">
        <v>6.53</v>
      </c>
      <c r="N15" s="4">
        <v>6.82</v>
      </c>
      <c r="O15" s="4">
        <v>5.87</v>
      </c>
      <c r="P15" s="4">
        <v>7.08</v>
      </c>
      <c r="Q15" s="4">
        <v>6.4</v>
      </c>
      <c r="R15" s="4">
        <v>6.85</v>
      </c>
      <c r="S15" s="4">
        <v>5.86</v>
      </c>
      <c r="T15" s="4">
        <v>5.36</v>
      </c>
      <c r="U15" s="4">
        <v>6.23</v>
      </c>
      <c r="V15" s="4">
        <v>6.29</v>
      </c>
      <c r="W15" s="4">
        <v>5.5</v>
      </c>
      <c r="X15" s="4">
        <v>6</v>
      </c>
      <c r="Y15" s="4">
        <v>5.81</v>
      </c>
      <c r="Z15" s="4">
        <v>6.07</v>
      </c>
      <c r="AA15" s="4">
        <v>6.66</v>
      </c>
      <c r="AB15" s="4">
        <v>9.57</v>
      </c>
      <c r="AC15" s="4">
        <v>7.74</v>
      </c>
      <c r="AD15" s="4">
        <v>8.85</v>
      </c>
      <c r="AE15" s="4">
        <v>6.22</v>
      </c>
      <c r="AF15" s="4">
        <v>9.58</v>
      </c>
      <c r="AG15" s="4">
        <v>6.17</v>
      </c>
      <c r="AH15" s="4">
        <v>5.74</v>
      </c>
      <c r="AI15" s="4">
        <v>6.66</v>
      </c>
      <c r="AJ15" s="4">
        <v>5.86</v>
      </c>
      <c r="AK15" s="4">
        <v>5.83</v>
      </c>
      <c r="AL15" s="4">
        <v>6.01</v>
      </c>
      <c r="AM15" s="4">
        <v>5.05</v>
      </c>
      <c r="AN15" s="4">
        <v>6.32</v>
      </c>
      <c r="AO15" s="4">
        <v>6.58</v>
      </c>
      <c r="AP15" s="4">
        <v>6.12</v>
      </c>
      <c r="AQ15" s="4">
        <v>5.44</v>
      </c>
      <c r="AR15" s="4">
        <v>5.84</v>
      </c>
      <c r="AS15" s="4">
        <v>5.35</v>
      </c>
      <c r="AT15" s="4">
        <v>6.44</v>
      </c>
      <c r="AU15" s="4">
        <v>6.13</v>
      </c>
      <c r="AV15" s="4">
        <v>6.63</v>
      </c>
      <c r="AW15" s="4">
        <v>6.9</v>
      </c>
      <c r="AX15" s="4">
        <v>5.15</v>
      </c>
      <c r="AY15" s="4">
        <v>5.55</v>
      </c>
      <c r="AZ15" s="4">
        <v>7.37</v>
      </c>
      <c r="BA15" s="4">
        <v>6.01</v>
      </c>
      <c r="BB15" s="4">
        <v>4.93</v>
      </c>
      <c r="BC15" s="4">
        <v>4.9800000000000004</v>
      </c>
      <c r="BD15" s="4">
        <v>7.47</v>
      </c>
      <c r="BE15" s="4">
        <v>9.8000000000000007</v>
      </c>
      <c r="BF15" s="4">
        <v>5.4</v>
      </c>
      <c r="BG15" s="4">
        <v>4.08</v>
      </c>
      <c r="BH15" s="4">
        <v>19.88</v>
      </c>
      <c r="BI15" s="4">
        <v>14.14</v>
      </c>
      <c r="BJ15" s="4">
        <v>21.94</v>
      </c>
    </row>
    <row r="16" spans="1:62" x14ac:dyDescent="0.2">
      <c r="A16" s="1">
        <v>2009</v>
      </c>
      <c r="B16" s="4">
        <v>13.44</v>
      </c>
      <c r="C16" s="4">
        <v>14.99</v>
      </c>
      <c r="D16" s="4">
        <v>10.029999999999999</v>
      </c>
      <c r="E16" s="4">
        <v>14.07</v>
      </c>
      <c r="F16" s="4">
        <v>13.73</v>
      </c>
      <c r="G16" s="4">
        <v>12.22</v>
      </c>
      <c r="H16" s="4">
        <v>9.2100000000000009</v>
      </c>
      <c r="I16" s="4">
        <v>8.0399999999999991</v>
      </c>
      <c r="J16" s="4">
        <v>11.89</v>
      </c>
      <c r="K16" s="4">
        <v>8.3699999999999992</v>
      </c>
      <c r="L16" s="4">
        <v>7.21</v>
      </c>
      <c r="M16" s="4">
        <v>6.61</v>
      </c>
      <c r="N16" s="4">
        <v>7.01</v>
      </c>
      <c r="O16" s="4">
        <v>5.81</v>
      </c>
      <c r="P16" s="4">
        <v>6.98</v>
      </c>
      <c r="Q16" s="4">
        <v>6.72</v>
      </c>
      <c r="R16" s="4">
        <v>6.73</v>
      </c>
      <c r="S16" s="4">
        <v>5.72</v>
      </c>
      <c r="T16" s="4">
        <v>5.27</v>
      </c>
      <c r="U16" s="4">
        <v>6.1</v>
      </c>
      <c r="V16" s="4">
        <v>6.26</v>
      </c>
      <c r="W16" s="4">
        <v>5.42</v>
      </c>
      <c r="X16" s="4">
        <v>5.75</v>
      </c>
      <c r="Y16" s="4">
        <v>5.25</v>
      </c>
      <c r="Z16" s="4">
        <v>5.65</v>
      </c>
      <c r="AA16" s="4">
        <v>6.69</v>
      </c>
      <c r="AB16" s="4">
        <v>9.51</v>
      </c>
      <c r="AC16" s="4">
        <v>8.3800000000000008</v>
      </c>
      <c r="AD16" s="4">
        <v>9.32</v>
      </c>
      <c r="AE16" s="4">
        <v>6.12</v>
      </c>
      <c r="AF16" s="4">
        <v>9.9600000000000009</v>
      </c>
      <c r="AG16" s="4">
        <v>5.99</v>
      </c>
      <c r="AH16" s="4">
        <v>5.79</v>
      </c>
      <c r="AI16" s="4">
        <v>6.91</v>
      </c>
      <c r="AJ16" s="4">
        <v>5.24</v>
      </c>
      <c r="AK16" s="4">
        <v>5.83</v>
      </c>
      <c r="AL16" s="4">
        <v>5.96</v>
      </c>
      <c r="AM16" s="4">
        <v>4.92</v>
      </c>
      <c r="AN16" s="4">
        <v>6.61</v>
      </c>
      <c r="AO16" s="4">
        <v>6.76</v>
      </c>
      <c r="AP16" s="4">
        <v>6.21</v>
      </c>
      <c r="AQ16" s="4">
        <v>5.76</v>
      </c>
      <c r="AR16" s="4">
        <v>5.25</v>
      </c>
      <c r="AS16" s="4">
        <v>4.82</v>
      </c>
      <c r="AT16" s="4">
        <v>6.74</v>
      </c>
      <c r="AU16" s="4">
        <v>6.09</v>
      </c>
      <c r="AV16" s="4">
        <v>6.65</v>
      </c>
      <c r="AW16" s="4">
        <v>6.39</v>
      </c>
      <c r="AX16" s="4">
        <v>5.17</v>
      </c>
      <c r="AY16" s="4">
        <v>5.46</v>
      </c>
      <c r="AZ16" s="4">
        <v>7.97</v>
      </c>
      <c r="BA16" s="4">
        <v>5.72</v>
      </c>
      <c r="BB16" s="4">
        <v>4.8099999999999996</v>
      </c>
      <c r="BC16" s="4">
        <v>4.83</v>
      </c>
      <c r="BD16" s="4">
        <v>8.01</v>
      </c>
      <c r="BE16" s="4">
        <v>10.42</v>
      </c>
      <c r="BF16" s="4">
        <v>5.4</v>
      </c>
      <c r="BG16" s="4">
        <v>4.4000000000000004</v>
      </c>
      <c r="BH16" s="4">
        <v>16.829999999999998</v>
      </c>
      <c r="BI16" s="4">
        <v>13.15</v>
      </c>
      <c r="BJ16" s="4">
        <v>18.14</v>
      </c>
    </row>
    <row r="17" spans="1:62" x14ac:dyDescent="0.2">
      <c r="A17" s="1">
        <v>2008</v>
      </c>
      <c r="B17" s="4">
        <v>13.47</v>
      </c>
      <c r="C17" s="4">
        <v>14.93</v>
      </c>
      <c r="D17" s="4">
        <v>11.56</v>
      </c>
      <c r="E17" s="4">
        <v>14.14</v>
      </c>
      <c r="F17" s="4">
        <v>13.13</v>
      </c>
      <c r="G17" s="4">
        <v>14.23</v>
      </c>
      <c r="H17" s="4">
        <v>9.19</v>
      </c>
      <c r="I17" s="4">
        <v>8.3000000000000007</v>
      </c>
      <c r="J17" s="4">
        <v>12.54</v>
      </c>
      <c r="K17" s="4">
        <v>9.39</v>
      </c>
      <c r="L17" s="4">
        <v>7.03</v>
      </c>
      <c r="M17" s="4">
        <v>6.39</v>
      </c>
      <c r="N17" s="4">
        <v>7.34</v>
      </c>
      <c r="O17" s="4">
        <v>5.46</v>
      </c>
      <c r="P17" s="4">
        <v>6.73</v>
      </c>
      <c r="Q17" s="4">
        <v>6.2</v>
      </c>
      <c r="R17" s="4">
        <v>6.51</v>
      </c>
      <c r="S17" s="4">
        <v>5.32</v>
      </c>
      <c r="T17" s="4">
        <v>4.8099999999999996</v>
      </c>
      <c r="U17" s="4">
        <v>5.69</v>
      </c>
      <c r="V17" s="4">
        <v>5.87</v>
      </c>
      <c r="W17" s="4">
        <v>4.92</v>
      </c>
      <c r="X17" s="4">
        <v>5.16</v>
      </c>
      <c r="Y17" s="4">
        <v>5.59</v>
      </c>
      <c r="Z17" s="4">
        <v>5.31</v>
      </c>
      <c r="AA17" s="4">
        <v>6.28</v>
      </c>
      <c r="AB17" s="4">
        <v>10.49</v>
      </c>
      <c r="AC17" s="4">
        <v>10.65</v>
      </c>
      <c r="AD17" s="4">
        <v>8.25</v>
      </c>
      <c r="AE17" s="4">
        <v>6.67</v>
      </c>
      <c r="AF17" s="4">
        <v>10.38</v>
      </c>
      <c r="AG17" s="4">
        <v>5.54</v>
      </c>
      <c r="AH17" s="4">
        <v>5.37</v>
      </c>
      <c r="AI17" s="4">
        <v>5.82</v>
      </c>
      <c r="AJ17" s="4">
        <v>4.2</v>
      </c>
      <c r="AK17" s="4">
        <v>5.75</v>
      </c>
      <c r="AL17" s="4">
        <v>6.11</v>
      </c>
      <c r="AM17" s="4">
        <v>4.82</v>
      </c>
      <c r="AN17" s="4">
        <v>6.56</v>
      </c>
      <c r="AO17" s="4">
        <v>6.29</v>
      </c>
      <c r="AP17" s="4">
        <v>8.08</v>
      </c>
      <c r="AQ17" s="4">
        <v>5.89</v>
      </c>
      <c r="AR17" s="4">
        <v>7.94</v>
      </c>
      <c r="AS17" s="4">
        <v>5.9</v>
      </c>
      <c r="AT17" s="4">
        <v>8.7899999999999991</v>
      </c>
      <c r="AU17" s="4">
        <v>6.05</v>
      </c>
      <c r="AV17" s="4">
        <v>6.57</v>
      </c>
      <c r="AW17" s="4">
        <v>6.65</v>
      </c>
      <c r="AX17" s="4">
        <v>4.4800000000000004</v>
      </c>
      <c r="AY17" s="4">
        <v>5.9</v>
      </c>
      <c r="AZ17" s="4">
        <v>7.98</v>
      </c>
      <c r="BA17" s="4">
        <v>6.38</v>
      </c>
      <c r="BB17" s="4">
        <v>4.59</v>
      </c>
      <c r="BC17" s="4">
        <v>4.47</v>
      </c>
      <c r="BD17" s="4">
        <v>7.97</v>
      </c>
      <c r="BE17" s="4">
        <v>10.09</v>
      </c>
      <c r="BF17" s="4">
        <v>5.26</v>
      </c>
      <c r="BG17" s="4">
        <v>4.5199999999999996</v>
      </c>
      <c r="BH17" s="4">
        <v>22.95</v>
      </c>
      <c r="BI17" s="4">
        <v>14.17</v>
      </c>
      <c r="BJ17" s="4">
        <v>26.05</v>
      </c>
    </row>
    <row r="18" spans="1:62" x14ac:dyDescent="0.2">
      <c r="A18" s="1">
        <v>2007</v>
      </c>
      <c r="B18" s="4">
        <v>12.74</v>
      </c>
      <c r="C18" s="4">
        <v>12.92</v>
      </c>
      <c r="D18" s="4">
        <v>14.11</v>
      </c>
      <c r="E18" s="4">
        <v>13.03</v>
      </c>
      <c r="F18" s="4">
        <v>12.27</v>
      </c>
      <c r="G18" s="4">
        <v>12.04</v>
      </c>
      <c r="H18" s="4">
        <v>8.92</v>
      </c>
      <c r="I18" s="4">
        <v>7.78</v>
      </c>
      <c r="J18" s="4">
        <v>10.08</v>
      </c>
      <c r="K18" s="4">
        <v>8.7100000000000009</v>
      </c>
      <c r="L18" s="4">
        <v>6.87</v>
      </c>
      <c r="M18" s="4">
        <v>5.9</v>
      </c>
      <c r="N18" s="4">
        <v>6.61</v>
      </c>
      <c r="O18" s="4">
        <v>4.8899999999999997</v>
      </c>
      <c r="P18" s="4">
        <v>6.47</v>
      </c>
      <c r="Q18" s="4">
        <v>5.76</v>
      </c>
      <c r="R18" s="4">
        <v>6.16</v>
      </c>
      <c r="S18" s="4">
        <v>5.08</v>
      </c>
      <c r="T18" s="4">
        <v>4.74</v>
      </c>
      <c r="U18" s="4">
        <v>5.13</v>
      </c>
      <c r="V18" s="4">
        <v>5.69</v>
      </c>
      <c r="W18" s="4">
        <v>4.76</v>
      </c>
      <c r="X18" s="4">
        <v>4.78</v>
      </c>
      <c r="Y18" s="4">
        <v>5.24</v>
      </c>
      <c r="Z18" s="4">
        <v>5.09</v>
      </c>
      <c r="AA18" s="4">
        <v>5.67</v>
      </c>
      <c r="AB18" s="4">
        <v>8.93</v>
      </c>
      <c r="AC18" s="4">
        <v>9.32</v>
      </c>
      <c r="AD18" s="4">
        <v>7.76</v>
      </c>
      <c r="AE18" s="4">
        <v>5.53</v>
      </c>
      <c r="AF18" s="4">
        <v>9.41</v>
      </c>
      <c r="AG18" s="4">
        <v>5.47</v>
      </c>
      <c r="AH18" s="4">
        <v>4.83</v>
      </c>
      <c r="AI18" s="4">
        <v>5.07</v>
      </c>
      <c r="AJ18" s="4">
        <v>3.95</v>
      </c>
      <c r="AK18" s="4">
        <v>5.04</v>
      </c>
      <c r="AL18" s="4">
        <v>5.27</v>
      </c>
      <c r="AM18" s="4">
        <v>4.47</v>
      </c>
      <c r="AN18" s="4">
        <v>5.75</v>
      </c>
      <c r="AO18" s="4">
        <v>5.19</v>
      </c>
      <c r="AP18" s="4">
        <v>7.14</v>
      </c>
      <c r="AQ18" s="4">
        <v>5.25</v>
      </c>
      <c r="AR18" s="4">
        <v>6.77</v>
      </c>
      <c r="AS18" s="4">
        <v>5.41</v>
      </c>
      <c r="AT18" s="4">
        <v>7.79</v>
      </c>
      <c r="AU18" s="4">
        <v>5.68</v>
      </c>
      <c r="AV18" s="4">
        <v>6.05</v>
      </c>
      <c r="AW18" s="4">
        <v>5.97</v>
      </c>
      <c r="AX18" s="4">
        <v>3.87</v>
      </c>
      <c r="AY18" s="4">
        <v>5.16</v>
      </c>
      <c r="AZ18" s="4">
        <v>8.2799999999999994</v>
      </c>
      <c r="BA18" s="4">
        <v>5.6</v>
      </c>
      <c r="BB18" s="4">
        <v>4.5199999999999996</v>
      </c>
      <c r="BC18" s="4">
        <v>4.0999999999999996</v>
      </c>
      <c r="BD18" s="4">
        <v>7.89</v>
      </c>
      <c r="BE18" s="4">
        <v>9.98</v>
      </c>
      <c r="BF18" s="4">
        <v>5.0599999999999996</v>
      </c>
      <c r="BG18" s="4">
        <v>4.57</v>
      </c>
      <c r="BH18" s="4">
        <v>16.86</v>
      </c>
      <c r="BI18" s="4">
        <v>12.63</v>
      </c>
      <c r="BJ18" s="4">
        <v>18.38</v>
      </c>
    </row>
    <row r="19" spans="1:62" x14ac:dyDescent="0.2">
      <c r="A19" s="1">
        <v>2006</v>
      </c>
      <c r="B19" s="4">
        <v>11.58</v>
      </c>
      <c r="C19" s="4">
        <v>11.71</v>
      </c>
      <c r="D19" s="4">
        <v>8.83</v>
      </c>
      <c r="E19" s="4">
        <v>13.04</v>
      </c>
      <c r="F19" s="4">
        <v>11.62</v>
      </c>
      <c r="G19" s="4">
        <v>12.51</v>
      </c>
      <c r="H19" s="4">
        <v>8.33</v>
      </c>
      <c r="I19" s="4">
        <v>7.77</v>
      </c>
      <c r="J19" s="4">
        <v>10.42</v>
      </c>
      <c r="K19" s="4">
        <v>9.39</v>
      </c>
      <c r="L19" s="4">
        <v>6.63</v>
      </c>
      <c r="M19" s="4">
        <v>5.36</v>
      </c>
      <c r="N19" s="4">
        <v>4.6900000000000004</v>
      </c>
      <c r="O19" s="4">
        <v>4.95</v>
      </c>
      <c r="P19" s="4">
        <v>6.05</v>
      </c>
      <c r="Q19" s="4">
        <v>5.61</v>
      </c>
      <c r="R19" s="4">
        <v>5.85</v>
      </c>
      <c r="S19" s="4">
        <v>4.9400000000000004</v>
      </c>
      <c r="T19" s="4">
        <v>4.92</v>
      </c>
      <c r="U19" s="4">
        <v>5.2</v>
      </c>
      <c r="V19" s="4">
        <v>5.29</v>
      </c>
      <c r="W19" s="4">
        <v>4.58</v>
      </c>
      <c r="X19" s="4">
        <v>4.5599999999999996</v>
      </c>
      <c r="Y19" s="4">
        <v>5</v>
      </c>
      <c r="Z19" s="4">
        <v>4.84</v>
      </c>
      <c r="AA19" s="4">
        <v>5.45</v>
      </c>
      <c r="AB19" s="4">
        <v>7.67</v>
      </c>
      <c r="AC19" s="4">
        <v>17.43</v>
      </c>
      <c r="AD19" s="4">
        <v>7.71</v>
      </c>
      <c r="AE19" s="4">
        <v>5.38</v>
      </c>
      <c r="AF19" s="4">
        <v>8.14</v>
      </c>
      <c r="AG19" s="4">
        <v>5.23</v>
      </c>
      <c r="AH19" s="4">
        <v>4.71</v>
      </c>
      <c r="AI19" s="4">
        <v>4.6900000000000004</v>
      </c>
      <c r="AJ19" s="4">
        <v>3.71</v>
      </c>
      <c r="AK19" s="4">
        <v>4.8099999999999996</v>
      </c>
      <c r="AL19" s="4">
        <v>4.9000000000000004</v>
      </c>
      <c r="AM19" s="4">
        <v>4.05</v>
      </c>
      <c r="AN19" s="4">
        <v>5.94</v>
      </c>
      <c r="AO19" s="4">
        <v>5.17</v>
      </c>
      <c r="AP19" s="4">
        <v>7.17</v>
      </c>
      <c r="AQ19" s="4">
        <v>5.24</v>
      </c>
      <c r="AR19" s="4">
        <v>6.87</v>
      </c>
      <c r="AS19" s="4">
        <v>5.46</v>
      </c>
      <c r="AT19" s="4">
        <v>7.82</v>
      </c>
      <c r="AU19" s="4">
        <v>5.51</v>
      </c>
      <c r="AV19" s="4">
        <v>5.69</v>
      </c>
      <c r="AW19" s="4">
        <v>5.88</v>
      </c>
      <c r="AX19" s="4">
        <v>3.61</v>
      </c>
      <c r="AY19" s="4">
        <v>5.12</v>
      </c>
      <c r="AZ19" s="4">
        <v>8.0299999999999994</v>
      </c>
      <c r="BA19" s="4">
        <v>5.57</v>
      </c>
      <c r="BB19" s="4">
        <v>4.21</v>
      </c>
      <c r="BC19" s="4">
        <v>4.04</v>
      </c>
      <c r="BD19" s="4">
        <v>7.85</v>
      </c>
      <c r="BE19" s="4">
        <v>10.09</v>
      </c>
      <c r="BF19" s="4">
        <v>4.8499999999999996</v>
      </c>
      <c r="BG19" s="4">
        <v>4.4400000000000004</v>
      </c>
      <c r="BH19" s="4">
        <v>16.41</v>
      </c>
      <c r="BI19" s="4">
        <v>11.54</v>
      </c>
      <c r="BJ19" s="4">
        <v>17.96</v>
      </c>
    </row>
    <row r="20" spans="1:62" x14ac:dyDescent="0.2">
      <c r="A20" s="1">
        <v>2005</v>
      </c>
      <c r="B20" s="4">
        <v>9.1</v>
      </c>
      <c r="C20" s="4">
        <v>9.4</v>
      </c>
      <c r="D20" s="4">
        <v>7.28</v>
      </c>
      <c r="E20" s="4">
        <v>9.2200000000000006</v>
      </c>
      <c r="F20" s="4">
        <v>11.48</v>
      </c>
      <c r="G20" s="4">
        <v>10.01</v>
      </c>
      <c r="H20" s="4">
        <v>7.77</v>
      </c>
      <c r="I20" s="4">
        <v>7.29</v>
      </c>
      <c r="J20" s="4">
        <v>9.76</v>
      </c>
      <c r="K20" s="4">
        <v>8.23</v>
      </c>
      <c r="L20" s="4">
        <v>6.29</v>
      </c>
      <c r="M20" s="4">
        <v>4.91</v>
      </c>
      <c r="N20" s="4">
        <v>4.6100000000000003</v>
      </c>
      <c r="O20" s="4">
        <v>4.42</v>
      </c>
      <c r="P20" s="4">
        <v>5.32</v>
      </c>
      <c r="Q20" s="4">
        <v>5.0999999999999996</v>
      </c>
      <c r="R20" s="4">
        <v>5.39</v>
      </c>
      <c r="S20" s="4">
        <v>4.71</v>
      </c>
      <c r="T20" s="4">
        <v>4.5599999999999996</v>
      </c>
      <c r="U20" s="4">
        <v>4.8499999999999996</v>
      </c>
      <c r="V20" s="4">
        <v>5.0199999999999996</v>
      </c>
      <c r="W20" s="4">
        <v>4.54</v>
      </c>
      <c r="X20" s="4">
        <v>4.43</v>
      </c>
      <c r="Y20" s="4">
        <v>4.32</v>
      </c>
      <c r="Z20" s="4">
        <v>4.95</v>
      </c>
      <c r="AA20" s="4">
        <v>5.3</v>
      </c>
      <c r="AB20" s="4">
        <v>6.21</v>
      </c>
      <c r="AC20" s="4">
        <v>14.13</v>
      </c>
      <c r="AD20" s="4">
        <v>6.46</v>
      </c>
      <c r="AE20" s="4">
        <v>5.28</v>
      </c>
      <c r="AF20" s="4">
        <v>7.01</v>
      </c>
      <c r="AG20" s="4">
        <v>5.04</v>
      </c>
      <c r="AH20" s="4">
        <v>4.55</v>
      </c>
      <c r="AI20" s="4">
        <v>4.46</v>
      </c>
      <c r="AJ20" s="4">
        <v>3.85</v>
      </c>
      <c r="AK20" s="4">
        <v>4.37</v>
      </c>
      <c r="AL20" s="4">
        <v>4.5199999999999996</v>
      </c>
      <c r="AM20" s="4">
        <v>3.6</v>
      </c>
      <c r="AN20" s="4">
        <v>5.37</v>
      </c>
      <c r="AO20" s="4">
        <v>4.7300000000000004</v>
      </c>
      <c r="AP20" s="4">
        <v>6.6</v>
      </c>
      <c r="AQ20" s="4">
        <v>4.74</v>
      </c>
      <c r="AR20" s="4">
        <v>6.71</v>
      </c>
      <c r="AS20" s="4">
        <v>5.1100000000000003</v>
      </c>
      <c r="AT20" s="4">
        <v>7.14</v>
      </c>
      <c r="AU20" s="4">
        <v>5.46</v>
      </c>
      <c r="AV20" s="4">
        <v>5.85</v>
      </c>
      <c r="AW20" s="4">
        <v>5.74</v>
      </c>
      <c r="AX20" s="4">
        <v>3.91</v>
      </c>
      <c r="AY20" s="4">
        <v>4.83</v>
      </c>
      <c r="AZ20" s="4">
        <v>7.71</v>
      </c>
      <c r="BA20" s="4">
        <v>5.61</v>
      </c>
      <c r="BB20" s="4">
        <v>4.24</v>
      </c>
      <c r="BC20" s="4">
        <v>3.99</v>
      </c>
      <c r="BD20" s="4">
        <v>7.47</v>
      </c>
      <c r="BE20" s="4">
        <v>9.5500000000000007</v>
      </c>
      <c r="BF20" s="4">
        <v>4.83</v>
      </c>
      <c r="BG20" s="4">
        <v>4.2699999999999996</v>
      </c>
      <c r="BH20" s="4">
        <v>14.31</v>
      </c>
      <c r="BI20" s="4">
        <v>9.2899999999999991</v>
      </c>
      <c r="BJ20" s="4">
        <v>15.79</v>
      </c>
    </row>
    <row r="21" spans="1:62" x14ac:dyDescent="0.2">
      <c r="A21" s="1">
        <v>2004</v>
      </c>
      <c r="B21" s="4">
        <v>8.2200000000000006</v>
      </c>
      <c r="C21" s="4">
        <v>7.89</v>
      </c>
      <c r="D21" s="4">
        <v>6.56</v>
      </c>
      <c r="E21" s="4">
        <v>8.48</v>
      </c>
      <c r="F21" s="4">
        <v>10.01</v>
      </c>
      <c r="G21" s="4">
        <v>9.3699999999999992</v>
      </c>
      <c r="H21" s="4">
        <v>7.96</v>
      </c>
      <c r="I21" s="4">
        <v>6.62</v>
      </c>
      <c r="J21" s="4">
        <v>9.0299999999999994</v>
      </c>
      <c r="K21" s="4">
        <v>7.04</v>
      </c>
      <c r="L21" s="4">
        <v>5.87</v>
      </c>
      <c r="M21" s="4">
        <v>4.68</v>
      </c>
      <c r="N21" s="4">
        <v>4.6500000000000004</v>
      </c>
      <c r="O21" s="4">
        <v>4.13</v>
      </c>
      <c r="P21" s="4">
        <v>4.92</v>
      </c>
      <c r="Q21" s="4">
        <v>4.8899999999999997</v>
      </c>
      <c r="R21" s="4">
        <v>4.93</v>
      </c>
      <c r="S21" s="4">
        <v>4.51</v>
      </c>
      <c r="T21" s="4">
        <v>4.33</v>
      </c>
      <c r="U21" s="4">
        <v>4.6900000000000004</v>
      </c>
      <c r="V21" s="4">
        <v>4.63</v>
      </c>
      <c r="W21" s="4">
        <v>4.62</v>
      </c>
      <c r="X21" s="4">
        <v>4.28</v>
      </c>
      <c r="Y21" s="4">
        <v>4.13</v>
      </c>
      <c r="Z21" s="4">
        <v>4.59</v>
      </c>
      <c r="AA21" s="4">
        <v>4.78</v>
      </c>
      <c r="AB21" s="4">
        <v>6.06</v>
      </c>
      <c r="AC21" s="4">
        <v>4.74</v>
      </c>
      <c r="AD21" s="4">
        <v>5.84</v>
      </c>
      <c r="AE21" s="4">
        <v>4.43</v>
      </c>
      <c r="AF21" s="4">
        <v>5.99</v>
      </c>
      <c r="AG21" s="4">
        <v>4.88</v>
      </c>
      <c r="AH21" s="4">
        <v>4.13</v>
      </c>
      <c r="AI21" s="4">
        <v>4.2699999999999996</v>
      </c>
      <c r="AJ21" s="4">
        <v>3.83</v>
      </c>
      <c r="AK21" s="4">
        <v>4.04</v>
      </c>
      <c r="AL21" s="4">
        <v>4.1500000000000004</v>
      </c>
      <c r="AM21" s="4">
        <v>3.34</v>
      </c>
      <c r="AN21" s="4">
        <v>4.83</v>
      </c>
      <c r="AO21" s="4">
        <v>4.46</v>
      </c>
      <c r="AP21" s="4">
        <v>5.58</v>
      </c>
      <c r="AQ21" s="4">
        <v>4.16</v>
      </c>
      <c r="AR21" s="4">
        <v>5.82</v>
      </c>
      <c r="AS21" s="4">
        <v>4.76</v>
      </c>
      <c r="AT21" s="4">
        <v>5.87</v>
      </c>
      <c r="AU21" s="4">
        <v>5.05</v>
      </c>
      <c r="AV21" s="4">
        <v>5.35</v>
      </c>
      <c r="AW21" s="4">
        <v>5.1100000000000003</v>
      </c>
      <c r="AX21" s="4">
        <v>3.82</v>
      </c>
      <c r="AY21" s="4">
        <v>4.1500000000000004</v>
      </c>
      <c r="AZ21" s="4">
        <v>7.24</v>
      </c>
      <c r="BA21" s="4">
        <v>5.22</v>
      </c>
      <c r="BB21" s="4">
        <v>4.01</v>
      </c>
      <c r="BC21" s="4">
        <v>3.91</v>
      </c>
      <c r="BD21" s="4">
        <v>7.35</v>
      </c>
      <c r="BE21" s="4">
        <v>9.27</v>
      </c>
      <c r="BF21" s="4">
        <v>4.43</v>
      </c>
      <c r="BG21" s="4">
        <v>4.28</v>
      </c>
      <c r="BH21" s="4">
        <v>12.23</v>
      </c>
      <c r="BI21" s="4">
        <v>8.33</v>
      </c>
      <c r="BJ21" s="4">
        <v>13.35</v>
      </c>
    </row>
    <row r="22" spans="1:62" x14ac:dyDescent="0.2">
      <c r="A22" s="1">
        <v>2003</v>
      </c>
      <c r="B22" s="4">
        <v>8.34</v>
      </c>
      <c r="C22" s="4">
        <v>7.99</v>
      </c>
      <c r="D22" s="4">
        <v>6.35</v>
      </c>
      <c r="E22" s="4">
        <v>8.93</v>
      </c>
      <c r="F22" s="4">
        <v>9.75</v>
      </c>
      <c r="G22" s="4">
        <v>8.8800000000000008</v>
      </c>
      <c r="H22" s="4">
        <v>8.0500000000000007</v>
      </c>
      <c r="I22" s="4">
        <v>6.49</v>
      </c>
      <c r="J22" s="4">
        <v>7.99</v>
      </c>
      <c r="K22" s="4">
        <v>7.14</v>
      </c>
      <c r="L22" s="4">
        <v>5.8</v>
      </c>
      <c r="M22" s="4">
        <v>4.63</v>
      </c>
      <c r="N22" s="4">
        <v>4.8600000000000003</v>
      </c>
      <c r="O22" s="4">
        <v>3.92</v>
      </c>
      <c r="P22" s="4">
        <v>4.96</v>
      </c>
      <c r="Q22" s="4">
        <v>4.79</v>
      </c>
      <c r="R22" s="4">
        <v>4.71</v>
      </c>
      <c r="S22" s="4">
        <v>4.34</v>
      </c>
      <c r="T22" s="4">
        <v>4.16</v>
      </c>
      <c r="U22" s="4">
        <v>4.6100000000000003</v>
      </c>
      <c r="V22" s="4">
        <v>4.3600000000000003</v>
      </c>
      <c r="W22" s="4">
        <v>4.49</v>
      </c>
      <c r="X22" s="4">
        <v>4.18</v>
      </c>
      <c r="Y22" s="4">
        <v>3.96</v>
      </c>
      <c r="Z22" s="4">
        <v>4.51</v>
      </c>
      <c r="AA22" s="4">
        <v>4.47</v>
      </c>
      <c r="AB22" s="4">
        <v>5.15</v>
      </c>
      <c r="AC22" s="4">
        <v>5.57</v>
      </c>
      <c r="AD22" s="4">
        <v>5.41</v>
      </c>
      <c r="AE22" s="4">
        <v>4.0199999999999996</v>
      </c>
      <c r="AF22" s="4">
        <v>4.8899999999999997</v>
      </c>
      <c r="AG22" s="4">
        <v>4.79</v>
      </c>
      <c r="AH22" s="4">
        <v>4</v>
      </c>
      <c r="AI22" s="4">
        <v>4.2300000000000004</v>
      </c>
      <c r="AJ22" s="4">
        <v>3.81</v>
      </c>
      <c r="AK22" s="4">
        <v>3.86</v>
      </c>
      <c r="AL22" s="4">
        <v>3.98</v>
      </c>
      <c r="AM22" s="4">
        <v>3.21</v>
      </c>
      <c r="AN22" s="4">
        <v>4.4800000000000004</v>
      </c>
      <c r="AO22" s="4">
        <v>4.29</v>
      </c>
      <c r="AP22" s="4">
        <v>5.14</v>
      </c>
      <c r="AQ22" s="4">
        <v>4.04</v>
      </c>
      <c r="AR22" s="4">
        <v>5.57</v>
      </c>
      <c r="AS22" s="4">
        <v>4.59</v>
      </c>
      <c r="AT22" s="4">
        <v>5.27</v>
      </c>
      <c r="AU22" s="4">
        <v>5.01</v>
      </c>
      <c r="AV22" s="4">
        <v>5.37</v>
      </c>
      <c r="AW22" s="4">
        <v>5.0999999999999996</v>
      </c>
      <c r="AX22" s="4">
        <v>4.16</v>
      </c>
      <c r="AY22" s="4">
        <v>4.03</v>
      </c>
      <c r="AZ22" s="4">
        <v>7.3</v>
      </c>
      <c r="BA22" s="4">
        <v>4.95</v>
      </c>
      <c r="BB22" s="4">
        <v>3.79</v>
      </c>
      <c r="BC22" s="4">
        <v>3.65</v>
      </c>
      <c r="BD22" s="4">
        <v>7.75</v>
      </c>
      <c r="BE22" s="4">
        <v>9.59</v>
      </c>
      <c r="BF22" s="4">
        <v>4.63</v>
      </c>
      <c r="BG22" s="4">
        <v>4.76</v>
      </c>
      <c r="BH22" s="4">
        <v>11.23</v>
      </c>
      <c r="BI22" s="4">
        <v>7.86</v>
      </c>
      <c r="BJ22" s="4">
        <v>12.2</v>
      </c>
    </row>
    <row r="23" spans="1:62" x14ac:dyDescent="0.2">
      <c r="A23" s="1">
        <v>2002</v>
      </c>
      <c r="B23" s="4">
        <v>8.02</v>
      </c>
      <c r="C23" s="4">
        <v>7.68</v>
      </c>
      <c r="D23" s="4">
        <v>7.05</v>
      </c>
      <c r="E23" s="4">
        <v>8.34</v>
      </c>
      <c r="F23" s="4">
        <v>9.09</v>
      </c>
      <c r="G23" s="4">
        <v>7.96</v>
      </c>
      <c r="H23" s="4">
        <v>7.9</v>
      </c>
      <c r="I23" s="4">
        <v>5.89</v>
      </c>
      <c r="J23" s="4">
        <v>7.72</v>
      </c>
      <c r="K23" s="4">
        <v>5.18</v>
      </c>
      <c r="L23" s="4">
        <v>5.83</v>
      </c>
      <c r="M23" s="4">
        <v>4.63</v>
      </c>
      <c r="N23" s="4">
        <v>4.8899999999999997</v>
      </c>
      <c r="O23" s="4">
        <v>3.95</v>
      </c>
      <c r="P23" s="4">
        <v>5.0199999999999996</v>
      </c>
      <c r="Q23" s="4">
        <v>4.87</v>
      </c>
      <c r="R23" s="4">
        <v>4.43</v>
      </c>
      <c r="S23" s="4">
        <v>4.1900000000000004</v>
      </c>
      <c r="T23" s="4">
        <v>4.0599999999999996</v>
      </c>
      <c r="U23" s="4">
        <v>4.53</v>
      </c>
      <c r="V23" s="4">
        <v>4.07</v>
      </c>
      <c r="W23" s="4">
        <v>4.42</v>
      </c>
      <c r="X23" s="4">
        <v>3.89</v>
      </c>
      <c r="Y23" s="4">
        <v>3.98</v>
      </c>
      <c r="Z23" s="4">
        <v>4.54</v>
      </c>
      <c r="AA23" s="4">
        <v>4.25</v>
      </c>
      <c r="AB23" s="4">
        <v>4.8499999999999996</v>
      </c>
      <c r="AC23" s="4">
        <v>4.95</v>
      </c>
      <c r="AD23" s="4">
        <v>5.23</v>
      </c>
      <c r="AE23" s="4">
        <v>3.95</v>
      </c>
      <c r="AF23" s="4">
        <v>4.01</v>
      </c>
      <c r="AG23" s="4">
        <v>4.7</v>
      </c>
      <c r="AH23" s="4">
        <v>3.85</v>
      </c>
      <c r="AI23" s="4">
        <v>4.13</v>
      </c>
      <c r="AJ23" s="4">
        <v>3.81</v>
      </c>
      <c r="AK23" s="4">
        <v>3.71</v>
      </c>
      <c r="AL23" s="4">
        <v>3.82</v>
      </c>
      <c r="AM23" s="4">
        <v>3.09</v>
      </c>
      <c r="AN23" s="4">
        <v>4.4000000000000004</v>
      </c>
      <c r="AO23" s="4">
        <v>4.1500000000000004</v>
      </c>
      <c r="AP23" s="4">
        <v>4.4800000000000004</v>
      </c>
      <c r="AQ23" s="4">
        <v>4.01</v>
      </c>
      <c r="AR23" s="4">
        <v>4.42</v>
      </c>
      <c r="AS23" s="4">
        <v>3.81</v>
      </c>
      <c r="AT23" s="4">
        <v>4.66</v>
      </c>
      <c r="AU23" s="4">
        <v>4.8600000000000003</v>
      </c>
      <c r="AV23" s="4">
        <v>5.2</v>
      </c>
      <c r="AW23" s="4">
        <v>4.5199999999999996</v>
      </c>
      <c r="AX23" s="4">
        <v>4.34</v>
      </c>
      <c r="AY23" s="4">
        <v>3.71</v>
      </c>
      <c r="AZ23" s="4">
        <v>7.25</v>
      </c>
      <c r="BA23" s="4">
        <v>4.4800000000000004</v>
      </c>
      <c r="BB23" s="4">
        <v>3.84</v>
      </c>
      <c r="BC23" s="4">
        <v>3.55</v>
      </c>
      <c r="BD23" s="4">
        <v>7.97</v>
      </c>
      <c r="BE23" s="4">
        <v>9.81</v>
      </c>
      <c r="BF23" s="4">
        <v>4.72</v>
      </c>
      <c r="BG23" s="4">
        <v>4.88</v>
      </c>
      <c r="BH23" s="4">
        <v>10.26</v>
      </c>
      <c r="BI23" s="4">
        <v>7.65</v>
      </c>
      <c r="BJ23" s="4">
        <v>11.02</v>
      </c>
    </row>
    <row r="24" spans="1:62" x14ac:dyDescent="0.2">
      <c r="A24" s="1">
        <v>2001</v>
      </c>
      <c r="B24" s="4">
        <v>8.48</v>
      </c>
      <c r="C24" s="4">
        <v>7.62</v>
      </c>
      <c r="D24" s="4">
        <v>7.15</v>
      </c>
      <c r="E24" s="4">
        <v>9.3699999999999992</v>
      </c>
      <c r="F24" s="4">
        <v>9.11</v>
      </c>
      <c r="G24" s="4">
        <v>9.36</v>
      </c>
      <c r="H24" s="4">
        <v>7.89</v>
      </c>
      <c r="I24" s="4">
        <v>6.08</v>
      </c>
      <c r="J24" s="4">
        <v>8.33</v>
      </c>
      <c r="K24" s="4">
        <v>5.56</v>
      </c>
      <c r="L24" s="4">
        <v>5.76</v>
      </c>
      <c r="M24" s="4">
        <v>4.46</v>
      </c>
      <c r="N24" s="4">
        <v>4.6500000000000004</v>
      </c>
      <c r="O24" s="4">
        <v>4.1100000000000003</v>
      </c>
      <c r="P24" s="4">
        <v>5.08</v>
      </c>
      <c r="Q24" s="4">
        <v>4.2699999999999996</v>
      </c>
      <c r="R24" s="4">
        <v>4.3600000000000003</v>
      </c>
      <c r="S24" s="4">
        <v>4.28</v>
      </c>
      <c r="T24" s="4">
        <v>4.18</v>
      </c>
      <c r="U24" s="4">
        <v>4.55</v>
      </c>
      <c r="V24" s="4">
        <v>4.34</v>
      </c>
      <c r="W24" s="4">
        <v>4.3899999999999997</v>
      </c>
      <c r="X24" s="4">
        <v>3.76</v>
      </c>
      <c r="Y24" s="4">
        <v>3.98</v>
      </c>
      <c r="Z24" s="4">
        <v>4.46</v>
      </c>
      <c r="AA24" s="4">
        <v>4.34</v>
      </c>
      <c r="AB24" s="4">
        <v>4.8099999999999996</v>
      </c>
      <c r="AC24" s="4">
        <v>4.8099999999999996</v>
      </c>
      <c r="AD24" s="4">
        <v>5.18</v>
      </c>
      <c r="AE24" s="4">
        <v>4.28</v>
      </c>
      <c r="AF24" s="4">
        <v>4.37</v>
      </c>
      <c r="AG24" s="4">
        <v>4.6100000000000003</v>
      </c>
      <c r="AH24" s="4">
        <v>3.86</v>
      </c>
      <c r="AI24" s="4">
        <v>4.16</v>
      </c>
      <c r="AJ24" s="4">
        <v>3.74</v>
      </c>
      <c r="AK24" s="4">
        <v>3.69</v>
      </c>
      <c r="AL24" s="4">
        <v>3.79</v>
      </c>
      <c r="AM24" s="4">
        <v>3.04</v>
      </c>
      <c r="AN24" s="4">
        <v>4.4000000000000004</v>
      </c>
      <c r="AO24" s="4">
        <v>4.05</v>
      </c>
      <c r="AP24" s="4">
        <v>5.15</v>
      </c>
      <c r="AQ24" s="4">
        <v>4.43</v>
      </c>
      <c r="AR24" s="4">
        <v>5.58</v>
      </c>
      <c r="AS24" s="4">
        <v>4.29</v>
      </c>
      <c r="AT24" s="4">
        <v>5.27</v>
      </c>
      <c r="AU24" s="4">
        <v>4.84</v>
      </c>
      <c r="AV24" s="4">
        <v>5.24</v>
      </c>
      <c r="AW24" s="4">
        <v>4.4800000000000004</v>
      </c>
      <c r="AX24" s="4">
        <v>3.71</v>
      </c>
      <c r="AY24" s="4">
        <v>6.59</v>
      </c>
      <c r="AZ24" s="4">
        <v>6.56</v>
      </c>
      <c r="BA24" s="4">
        <v>5.45</v>
      </c>
      <c r="BB24" s="4">
        <v>3.53</v>
      </c>
      <c r="BC24" s="4">
        <v>3.43</v>
      </c>
      <c r="BD24" s="4">
        <v>7.64</v>
      </c>
      <c r="BE24" s="4">
        <v>9.23</v>
      </c>
      <c r="BF24" s="4">
        <v>4.21</v>
      </c>
      <c r="BG24" s="4">
        <v>4.75</v>
      </c>
      <c r="BH24" s="4">
        <v>10.78</v>
      </c>
      <c r="BI24" s="4">
        <v>7.61</v>
      </c>
      <c r="BJ24" s="4">
        <v>11.68</v>
      </c>
    </row>
    <row r="25" spans="1:62" x14ac:dyDescent="0.2">
      <c r="A25" s="1">
        <v>2000</v>
      </c>
      <c r="B25" s="4">
        <v>8.48</v>
      </c>
      <c r="C25" s="4">
        <v>7.62</v>
      </c>
      <c r="D25" s="4">
        <v>7.15</v>
      </c>
      <c r="E25" s="4">
        <v>9.3699999999999992</v>
      </c>
      <c r="F25" s="4">
        <v>9.11</v>
      </c>
      <c r="G25" s="4">
        <v>9.36</v>
      </c>
      <c r="H25" s="4">
        <v>7.89</v>
      </c>
      <c r="I25" s="4">
        <v>6.08</v>
      </c>
      <c r="J25" s="4">
        <v>8.33</v>
      </c>
      <c r="K25" s="4">
        <v>5.56</v>
      </c>
      <c r="L25" s="4">
        <v>5.76</v>
      </c>
      <c r="M25" s="4">
        <v>4.46</v>
      </c>
      <c r="N25" s="4">
        <v>4.6500000000000004</v>
      </c>
      <c r="O25" s="4">
        <v>4.1100000000000003</v>
      </c>
      <c r="P25" s="4">
        <v>5.08</v>
      </c>
      <c r="Q25" s="4">
        <v>4.2699999999999996</v>
      </c>
      <c r="R25" s="4">
        <v>4.3600000000000003</v>
      </c>
      <c r="S25" s="4">
        <v>4.28</v>
      </c>
      <c r="T25" s="4">
        <v>4.18</v>
      </c>
      <c r="U25" s="4">
        <v>4.55</v>
      </c>
      <c r="V25" s="4">
        <v>4.34</v>
      </c>
      <c r="W25" s="4">
        <v>4.3899999999999997</v>
      </c>
      <c r="X25" s="4">
        <v>3.76</v>
      </c>
      <c r="Y25" s="4">
        <v>3.98</v>
      </c>
      <c r="Z25" s="4">
        <v>4.46</v>
      </c>
      <c r="AA25" s="4">
        <v>4.34</v>
      </c>
      <c r="AB25" s="4">
        <v>4.8099999999999996</v>
      </c>
      <c r="AC25" s="4">
        <v>4.8099999999999996</v>
      </c>
      <c r="AD25" s="4">
        <v>5.18</v>
      </c>
      <c r="AE25" s="4">
        <v>4.28</v>
      </c>
      <c r="AF25" s="4">
        <v>4.37</v>
      </c>
      <c r="AG25" s="4">
        <v>4.6100000000000003</v>
      </c>
      <c r="AH25" s="4">
        <v>3.86</v>
      </c>
      <c r="AI25" s="4">
        <v>4.16</v>
      </c>
      <c r="AJ25" s="4">
        <v>3.74</v>
      </c>
      <c r="AK25" s="4">
        <v>3.69</v>
      </c>
      <c r="AL25" s="4">
        <v>3.79</v>
      </c>
      <c r="AM25" s="4">
        <v>3.04</v>
      </c>
      <c r="AN25" s="4">
        <v>4.4000000000000004</v>
      </c>
      <c r="AO25" s="4">
        <v>4.05</v>
      </c>
      <c r="AP25" s="4">
        <v>5.15</v>
      </c>
      <c r="AQ25" s="4">
        <v>4.43</v>
      </c>
      <c r="AR25" s="4">
        <v>5.58</v>
      </c>
      <c r="AS25" s="4">
        <v>4.29</v>
      </c>
      <c r="AT25" s="4">
        <v>5.27</v>
      </c>
      <c r="AU25" s="4">
        <v>4.84</v>
      </c>
      <c r="AV25" s="4">
        <v>5.24</v>
      </c>
      <c r="AW25" s="4">
        <v>4.4800000000000004</v>
      </c>
      <c r="AX25" s="4">
        <v>3.71</v>
      </c>
      <c r="AY25" s="4">
        <v>6.59</v>
      </c>
      <c r="AZ25" s="4">
        <v>6.56</v>
      </c>
      <c r="BA25" s="4">
        <v>5.45</v>
      </c>
      <c r="BB25" s="4">
        <v>3.53</v>
      </c>
      <c r="BC25" s="4">
        <v>3.43</v>
      </c>
      <c r="BD25" s="4">
        <v>7.64</v>
      </c>
      <c r="BE25" s="4">
        <v>9.23</v>
      </c>
      <c r="BF25" s="4">
        <v>4.21</v>
      </c>
      <c r="BG25" s="4">
        <v>4.75</v>
      </c>
      <c r="BH25" s="4">
        <v>10.78</v>
      </c>
      <c r="BI25" s="4">
        <v>7.61</v>
      </c>
      <c r="BJ25" s="4">
        <v>11.68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53F4-27A7-A44C-AAB7-2E84F2FB784D}">
  <dimension ref="A1:K25"/>
  <sheetViews>
    <sheetView workbookViewId="0">
      <selection activeCell="A25" sqref="A1:A25"/>
    </sheetView>
  </sheetViews>
  <sheetFormatPr baseColWidth="10" defaultRowHeight="16" x14ac:dyDescent="0.2"/>
  <cols>
    <col min="2" max="2" width="30.6640625" customWidth="1"/>
    <col min="3" max="3" width="32.83203125" customWidth="1"/>
    <col min="10" max="10" width="70.1640625" customWidth="1"/>
  </cols>
  <sheetData>
    <row r="1" spans="1:11" x14ac:dyDescent="0.2">
      <c r="A1" s="1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</row>
    <row r="2" spans="1:11" x14ac:dyDescent="0.2">
      <c r="A2" s="4">
        <v>2023</v>
      </c>
      <c r="B2" s="4">
        <v>4.2720000000000002</v>
      </c>
      <c r="C2" s="4">
        <v>4.5140000000000002</v>
      </c>
      <c r="D2" s="4">
        <v>4.5410000000000004</v>
      </c>
      <c r="E2" s="4">
        <v>4.149</v>
      </c>
      <c r="F2" s="4">
        <v>4.1150000000000002</v>
      </c>
      <c r="G2" s="4">
        <v>3.915</v>
      </c>
      <c r="H2" s="4">
        <v>4.359</v>
      </c>
      <c r="I2" s="4">
        <v>4.9420000000000002</v>
      </c>
      <c r="J2" s="4">
        <v>4.5810000000000004</v>
      </c>
      <c r="K2" s="4">
        <v>5.3570000000000002</v>
      </c>
    </row>
    <row r="3" spans="1:11" x14ac:dyDescent="0.2">
      <c r="A3" s="4">
        <v>2022</v>
      </c>
      <c r="B3" s="4">
        <v>5.07</v>
      </c>
      <c r="C3" s="4">
        <v>5.2720000000000002</v>
      </c>
      <c r="D3" s="4">
        <v>5.3540000000000001</v>
      </c>
      <c r="E3" s="4">
        <v>4.92</v>
      </c>
      <c r="F3" s="4">
        <v>4.8979999999999997</v>
      </c>
      <c r="G3" s="4">
        <v>4.6829999999999998</v>
      </c>
      <c r="H3" s="4">
        <v>4.9740000000000002</v>
      </c>
      <c r="I3" s="4">
        <v>5.6159999999999997</v>
      </c>
      <c r="J3" s="4">
        <v>5.21</v>
      </c>
      <c r="K3" s="4">
        <v>6.0279999999999996</v>
      </c>
    </row>
    <row r="4" spans="1:11" x14ac:dyDescent="0.2">
      <c r="A4" s="4">
        <v>2021</v>
      </c>
      <c r="B4" s="4">
        <v>3.2719999999999998</v>
      </c>
      <c r="C4" s="4">
        <v>3.2280000000000002</v>
      </c>
      <c r="D4" s="4">
        <v>3.431</v>
      </c>
      <c r="E4" s="4">
        <v>3.1739999999999999</v>
      </c>
      <c r="F4" s="4">
        <v>3.214</v>
      </c>
      <c r="G4" s="4">
        <v>3.04</v>
      </c>
      <c r="H4" s="4">
        <v>3.399</v>
      </c>
      <c r="I4" s="4">
        <v>3.8540000000000001</v>
      </c>
      <c r="J4" s="4">
        <v>3.484</v>
      </c>
      <c r="K4" s="4">
        <v>4.1639999999999997</v>
      </c>
    </row>
    <row r="5" spans="1:11" x14ac:dyDescent="0.2">
      <c r="A5" s="4">
        <v>2020</v>
      </c>
      <c r="B5" s="4">
        <v>2.6240000000000001</v>
      </c>
      <c r="C5" s="4">
        <v>2.7229999999999999</v>
      </c>
      <c r="D5" s="4">
        <v>2.806</v>
      </c>
      <c r="E5" s="4">
        <v>2.48</v>
      </c>
      <c r="F5" s="4">
        <v>2.4260000000000002</v>
      </c>
      <c r="G5" s="4">
        <v>2.3130000000000002</v>
      </c>
      <c r="H5" s="4">
        <v>2.5169999999999999</v>
      </c>
      <c r="I5" s="4">
        <v>3.0840000000000001</v>
      </c>
      <c r="J5" s="4">
        <v>2.7269999999999999</v>
      </c>
      <c r="K5" s="4">
        <v>3.3769999999999998</v>
      </c>
    </row>
    <row r="6" spans="1:11" x14ac:dyDescent="0.2">
      <c r="A6" s="4">
        <v>2019</v>
      </c>
      <c r="B6" s="4">
        <v>3.081</v>
      </c>
      <c r="C6" s="4">
        <v>3.1309999999999998</v>
      </c>
      <c r="D6" s="4">
        <v>3.2669999999999999</v>
      </c>
      <c r="E6" s="4">
        <v>2.9449999999999998</v>
      </c>
      <c r="F6" s="4">
        <v>2.9550000000000001</v>
      </c>
      <c r="G6" s="4">
        <v>2.819</v>
      </c>
      <c r="H6" s="4">
        <v>3.0430000000000001</v>
      </c>
      <c r="I6" s="4">
        <v>3.617</v>
      </c>
      <c r="J6" s="4">
        <v>3.2330000000000001</v>
      </c>
      <c r="K6" s="4">
        <v>3.923</v>
      </c>
    </row>
    <row r="7" spans="1:11" x14ac:dyDescent="0.2">
      <c r="A7" s="4">
        <v>2018</v>
      </c>
      <c r="B7" s="4">
        <v>3.19</v>
      </c>
      <c r="C7" s="4">
        <v>3.2370000000000001</v>
      </c>
      <c r="D7" s="4">
        <v>3.3610000000000002</v>
      </c>
      <c r="E7" s="4">
        <v>3.0609999999999999</v>
      </c>
      <c r="F7" s="4">
        <v>3.11</v>
      </c>
      <c r="G7" s="4">
        <v>2.96</v>
      </c>
      <c r="H7" s="4">
        <v>3.222</v>
      </c>
      <c r="I7" s="4">
        <v>3.6440000000000001</v>
      </c>
      <c r="J7" s="4">
        <v>3.3540000000000001</v>
      </c>
      <c r="K7" s="4">
        <v>3.8740000000000001</v>
      </c>
    </row>
    <row r="8" spans="1:11" x14ac:dyDescent="0.2">
      <c r="A8" s="4">
        <v>2017</v>
      </c>
      <c r="B8" s="4">
        <v>2.681</v>
      </c>
      <c r="C8" s="4">
        <v>2.69</v>
      </c>
      <c r="D8" s="4">
        <v>2.8220000000000001</v>
      </c>
      <c r="E8" s="4">
        <v>2.5790000000000002</v>
      </c>
      <c r="F8" s="4">
        <v>2.5960000000000001</v>
      </c>
      <c r="G8" s="4">
        <v>2.484</v>
      </c>
      <c r="H8" s="4">
        <v>2.7120000000000002</v>
      </c>
      <c r="I8" s="4">
        <v>2.9630000000000001</v>
      </c>
      <c r="J8" s="4">
        <v>2.8330000000000002</v>
      </c>
      <c r="K8" s="4">
        <v>3.0670000000000002</v>
      </c>
    </row>
    <row r="9" spans="1:11" x14ac:dyDescent="0.2">
      <c r="A9" s="4">
        <v>2016</v>
      </c>
      <c r="B9" s="4">
        <v>2.3330000000000002</v>
      </c>
      <c r="C9" s="4">
        <v>2.38</v>
      </c>
      <c r="D9" s="4">
        <v>2.4369999999999998</v>
      </c>
      <c r="E9" s="4">
        <v>2.2440000000000002</v>
      </c>
      <c r="F9" s="4">
        <v>2.2589999999999999</v>
      </c>
      <c r="G9" s="4">
        <v>2.177</v>
      </c>
      <c r="H9" s="4">
        <v>2.31</v>
      </c>
      <c r="I9" s="4">
        <v>2.5569999999999999</v>
      </c>
      <c r="J9" s="4">
        <v>2.4380000000000002</v>
      </c>
      <c r="K9" s="4">
        <v>2.6539999999999999</v>
      </c>
    </row>
    <row r="10" spans="1:11" x14ac:dyDescent="0.2">
      <c r="A10" s="4">
        <v>2015</v>
      </c>
      <c r="B10" s="4">
        <v>2.7909999999999999</v>
      </c>
      <c r="C10" s="4">
        <v>2.8919999999999999</v>
      </c>
      <c r="D10" s="4">
        <v>2.927</v>
      </c>
      <c r="E10" s="4">
        <v>2.6680000000000001</v>
      </c>
      <c r="F10" s="4">
        <v>2.64</v>
      </c>
      <c r="G10" s="4">
        <v>2.5760000000000001</v>
      </c>
      <c r="H10" s="4">
        <v>2.6739999999999999</v>
      </c>
      <c r="I10" s="4">
        <v>2.8980000000000001</v>
      </c>
      <c r="J10" s="4">
        <v>2.7549999999999999</v>
      </c>
      <c r="K10" s="4">
        <v>3.0150000000000001</v>
      </c>
    </row>
    <row r="11" spans="1:11" x14ac:dyDescent="0.2">
      <c r="A11" s="4">
        <v>2014</v>
      </c>
      <c r="B11" s="4">
        <v>3.8769999999999998</v>
      </c>
      <c r="C11" s="4">
        <v>4.0069999999999997</v>
      </c>
      <c r="D11" s="4">
        <v>3.9870000000000001</v>
      </c>
      <c r="E11" s="4">
        <v>3.7669999999999999</v>
      </c>
      <c r="F11" s="4">
        <v>3.806</v>
      </c>
      <c r="G11" s="4">
        <v>3.7010000000000001</v>
      </c>
      <c r="H11" s="4">
        <v>3.8479999999999999</v>
      </c>
      <c r="I11" s="4">
        <v>3.9329999999999998</v>
      </c>
      <c r="J11" s="4">
        <v>3.8479999999999999</v>
      </c>
      <c r="K11" s="4">
        <v>4.0039999999999996</v>
      </c>
    </row>
    <row r="12" spans="1:11" x14ac:dyDescent="0.2">
      <c r="A12" s="4">
        <v>2013</v>
      </c>
      <c r="B12" s="4">
        <v>3.9470000000000001</v>
      </c>
      <c r="C12" s="4">
        <v>4.0789999999999997</v>
      </c>
      <c r="D12" s="4">
        <v>4.01</v>
      </c>
      <c r="E12" s="4">
        <v>3.8759999999999999</v>
      </c>
      <c r="F12" s="4">
        <v>3.903</v>
      </c>
      <c r="G12" s="4">
        <v>3.835</v>
      </c>
      <c r="H12" s="4">
        <v>3.8759999999999999</v>
      </c>
      <c r="I12" s="4">
        <v>4.0510000000000002</v>
      </c>
      <c r="J12" s="4">
        <v>3.9630000000000001</v>
      </c>
      <c r="K12" s="4">
        <v>4.1260000000000003</v>
      </c>
    </row>
    <row r="13" spans="1:11" x14ac:dyDescent="0.2">
      <c r="A13" s="4">
        <v>2012</v>
      </c>
      <c r="B13" s="4">
        <v>4.0119999999999996</v>
      </c>
      <c r="C13" s="4">
        <v>4.1280000000000001</v>
      </c>
      <c r="D13" s="4">
        <v>4.0999999999999996</v>
      </c>
      <c r="E13" s="4">
        <v>3.9239999999999999</v>
      </c>
      <c r="F13" s="4">
        <v>3.899</v>
      </c>
      <c r="G13" s="4">
        <v>3.8759999999999999</v>
      </c>
      <c r="H13" s="4">
        <v>3.9820000000000002</v>
      </c>
      <c r="I13" s="4">
        <v>4.1630000000000003</v>
      </c>
      <c r="J13" s="4">
        <v>4.085</v>
      </c>
      <c r="K13" s="4">
        <v>4.2300000000000004</v>
      </c>
    </row>
    <row r="14" spans="1:11" x14ac:dyDescent="0.2">
      <c r="A14" s="4">
        <v>2011</v>
      </c>
      <c r="B14" s="4">
        <v>3.8620000000000001</v>
      </c>
      <c r="C14" s="4">
        <v>3.9780000000000002</v>
      </c>
      <c r="D14" s="4">
        <v>3.9729999999999999</v>
      </c>
      <c r="E14" s="4">
        <v>3.8</v>
      </c>
      <c r="F14" s="4">
        <v>3.802</v>
      </c>
      <c r="G14" s="4">
        <v>3.7749999999999999</v>
      </c>
      <c r="H14" s="4">
        <v>3.867</v>
      </c>
      <c r="I14" s="4">
        <v>3.9990000000000001</v>
      </c>
      <c r="J14" s="4"/>
      <c r="K14" s="4"/>
    </row>
    <row r="15" spans="1:11" x14ac:dyDescent="0.2">
      <c r="A15" s="4">
        <v>2010</v>
      </c>
      <c r="B15" s="4">
        <v>3.0070000000000001</v>
      </c>
      <c r="C15" s="4">
        <v>3.085</v>
      </c>
      <c r="D15" s="4">
        <v>3.1120000000000001</v>
      </c>
      <c r="E15" s="4">
        <v>2.9540000000000002</v>
      </c>
      <c r="F15" s="4">
        <v>2.964</v>
      </c>
      <c r="G15" s="4">
        <v>2.9380000000000002</v>
      </c>
      <c r="H15" s="4">
        <v>3.0259999999999998</v>
      </c>
      <c r="I15" s="4">
        <v>3.1190000000000002</v>
      </c>
      <c r="J15" s="4"/>
      <c r="K15" s="4">
        <v>3.157</v>
      </c>
    </row>
    <row r="16" spans="1:11" x14ac:dyDescent="0.2">
      <c r="A16" s="4">
        <v>2009</v>
      </c>
      <c r="B16" s="4">
        <v>2.5030000000000001</v>
      </c>
      <c r="C16" s="4">
        <v>2.629</v>
      </c>
      <c r="D16" s="4">
        <v>2.621</v>
      </c>
      <c r="E16" s="4">
        <v>2.4420000000000002</v>
      </c>
      <c r="F16" s="4">
        <v>2.4329999999999998</v>
      </c>
      <c r="G16" s="4">
        <v>2.42</v>
      </c>
      <c r="H16" s="4">
        <v>2.476</v>
      </c>
      <c r="I16" s="4">
        <v>2.5659999999999998</v>
      </c>
      <c r="J16" s="4"/>
      <c r="K16" s="4">
        <v>2.6070000000000002</v>
      </c>
    </row>
    <row r="17" spans="1:11" x14ac:dyDescent="0.2">
      <c r="A17" s="4">
        <v>2008</v>
      </c>
      <c r="B17" s="4">
        <v>3.87</v>
      </c>
      <c r="C17" s="4">
        <v>4.0209999999999999</v>
      </c>
      <c r="D17" s="4">
        <v>3.99</v>
      </c>
      <c r="E17" s="4">
        <v>3.8050000000000002</v>
      </c>
      <c r="F17" s="4">
        <v>3.758</v>
      </c>
      <c r="G17" s="4">
        <v>3.7559999999999998</v>
      </c>
      <c r="H17" s="4">
        <v>3.7930000000000001</v>
      </c>
      <c r="I17" s="4">
        <v>3.8679999999999999</v>
      </c>
      <c r="J17" s="4"/>
      <c r="K17" s="4">
        <v>3.9249999999999998</v>
      </c>
    </row>
    <row r="18" spans="1:11" x14ac:dyDescent="0.2">
      <c r="A18" s="4">
        <v>2007</v>
      </c>
      <c r="B18" s="4">
        <v>2.8780000000000001</v>
      </c>
      <c r="C18" s="4">
        <v>2.9790000000000001</v>
      </c>
      <c r="D18" s="4">
        <v>2.9649999999999999</v>
      </c>
      <c r="E18" s="4">
        <v>2.831</v>
      </c>
      <c r="F18" s="4">
        <v>2.8620000000000001</v>
      </c>
      <c r="G18" s="4">
        <v>2.823</v>
      </c>
      <c r="H18" s="4">
        <v>2.9809999999999999</v>
      </c>
      <c r="I18" s="4">
        <v>3.0419999999999998</v>
      </c>
      <c r="J18" s="4"/>
      <c r="K18" s="4">
        <v>3.0939999999999999</v>
      </c>
    </row>
    <row r="19" spans="1:11" x14ac:dyDescent="0.2">
      <c r="A19" s="4">
        <v>2006</v>
      </c>
      <c r="B19" s="4">
        <v>2.7040000000000002</v>
      </c>
      <c r="C19" s="4">
        <v>2.8039999999999998</v>
      </c>
      <c r="D19" s="4">
        <v>2.8079999999999998</v>
      </c>
      <c r="E19" s="4">
        <v>2.65</v>
      </c>
      <c r="F19" s="4">
        <v>2.669</v>
      </c>
      <c r="G19" s="4">
        <v>2.6440000000000001</v>
      </c>
      <c r="H19" s="4">
        <v>2.8</v>
      </c>
      <c r="I19" s="4">
        <v>2.8849999999999998</v>
      </c>
      <c r="J19" s="4"/>
      <c r="K19" s="4">
        <v>2.9220000000000002</v>
      </c>
    </row>
    <row r="20" spans="1:11" x14ac:dyDescent="0.2">
      <c r="A20" s="4">
        <v>2005</v>
      </c>
      <c r="B20" s="4">
        <v>2.4089999999999998</v>
      </c>
      <c r="C20" s="4">
        <v>2.5110000000000001</v>
      </c>
      <c r="D20" s="4">
        <v>2.4990000000000001</v>
      </c>
      <c r="E20" s="4">
        <v>2.3620000000000001</v>
      </c>
      <c r="F20" s="4">
        <v>2.3620000000000001</v>
      </c>
      <c r="G20" s="4">
        <v>2.3559999999999999</v>
      </c>
      <c r="H20" s="4">
        <v>2.4470000000000001</v>
      </c>
      <c r="I20" s="4">
        <v>2.5710000000000002</v>
      </c>
      <c r="J20" s="4"/>
      <c r="K20" s="4">
        <v>2.6080000000000001</v>
      </c>
    </row>
    <row r="21" spans="1:11" x14ac:dyDescent="0.2">
      <c r="A21" s="4">
        <v>2004</v>
      </c>
      <c r="B21" s="4">
        <v>1.8080000000000001</v>
      </c>
      <c r="C21" s="4">
        <v>1.9239999999999999</v>
      </c>
      <c r="D21" s="4">
        <v>1.9039999999999999</v>
      </c>
      <c r="E21" s="4">
        <v>1.7569999999999999</v>
      </c>
      <c r="F21" s="4">
        <v>1.77</v>
      </c>
      <c r="G21" s="4">
        <v>1.746</v>
      </c>
      <c r="H21" s="4">
        <v>1.8660000000000001</v>
      </c>
      <c r="I21" s="4">
        <v>2.0270000000000001</v>
      </c>
      <c r="J21" s="4"/>
      <c r="K21" s="4">
        <v>2.0990000000000002</v>
      </c>
    </row>
    <row r="22" spans="1:11" x14ac:dyDescent="0.2">
      <c r="A22" s="4">
        <v>2003</v>
      </c>
      <c r="B22" s="4">
        <v>1.5289999999999999</v>
      </c>
      <c r="C22" s="4">
        <v>1.643</v>
      </c>
      <c r="D22" s="4">
        <v>1.633</v>
      </c>
      <c r="E22" s="4">
        <v>1.4750000000000001</v>
      </c>
      <c r="F22" s="4">
        <v>1.488</v>
      </c>
      <c r="G22" s="4">
        <v>1.4530000000000001</v>
      </c>
      <c r="H22" s="4">
        <v>1.5349999999999999</v>
      </c>
      <c r="I22" s="4">
        <v>1.613</v>
      </c>
      <c r="J22" s="4"/>
      <c r="K22" s="4">
        <v>1.657</v>
      </c>
    </row>
    <row r="23" spans="1:11" x14ac:dyDescent="0.2">
      <c r="A23" s="4">
        <v>2002</v>
      </c>
      <c r="B23" s="4">
        <v>1.3220000000000001</v>
      </c>
      <c r="C23" s="4">
        <v>1.403</v>
      </c>
      <c r="D23" s="4">
        <v>1.403</v>
      </c>
      <c r="E23" s="4">
        <v>1.28</v>
      </c>
      <c r="F23" s="4">
        <v>1.3049999999999999</v>
      </c>
      <c r="G23" s="4">
        <v>1.28</v>
      </c>
      <c r="H23" s="4">
        <v>1.343</v>
      </c>
      <c r="I23" s="4">
        <v>1.407</v>
      </c>
      <c r="J23" s="4"/>
      <c r="K23" s="4">
        <v>1.45</v>
      </c>
    </row>
    <row r="24" spans="1:11" x14ac:dyDescent="0.2">
      <c r="A24" s="4">
        <v>2001</v>
      </c>
      <c r="B24" s="4">
        <v>1.39</v>
      </c>
      <c r="C24" s="4">
        <v>1.492</v>
      </c>
      <c r="D24" s="4">
        <v>1.4750000000000001</v>
      </c>
      <c r="E24" s="4">
        <v>1.345</v>
      </c>
      <c r="F24" s="4">
        <v>1.4019999999999999</v>
      </c>
      <c r="G24" s="4">
        <v>1.3420000000000001</v>
      </c>
      <c r="H24" s="4">
        <v>1.4490000000000001</v>
      </c>
      <c r="I24" s="4">
        <v>1.4930000000000001</v>
      </c>
      <c r="J24" s="4"/>
      <c r="K24" s="4">
        <v>1.5429999999999999</v>
      </c>
    </row>
    <row r="25" spans="1:11" x14ac:dyDescent="0.2">
      <c r="A25" s="4">
        <v>2000</v>
      </c>
      <c r="B25" s="4">
        <v>1.5029999999999999</v>
      </c>
      <c r="C25" s="4">
        <v>1.6140000000000001</v>
      </c>
      <c r="D25" s="4">
        <v>1.603</v>
      </c>
      <c r="E25" s="4">
        <v>1.45</v>
      </c>
      <c r="F25" s="4">
        <v>1.468</v>
      </c>
      <c r="G25" s="4">
        <v>1.44</v>
      </c>
      <c r="H25" s="4">
        <v>1.5269999999999999</v>
      </c>
      <c r="I25" s="4">
        <v>1.603</v>
      </c>
      <c r="J25" s="4"/>
      <c r="K25" s="4">
        <v>1.6719999999999999</v>
      </c>
    </row>
  </sheetData>
  <sortState xmlns:xlrd2="http://schemas.microsoft.com/office/spreadsheetml/2017/richdata2" ref="A2:K25">
    <sortCondition descending="1" ref="A1:A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D161-4CC3-8B4A-AF68-D2C5BD92C1D7}">
  <dimension ref="A1:AZ25"/>
  <sheetViews>
    <sheetView workbookViewId="0">
      <selection activeCell="E29" sqref="E29"/>
    </sheetView>
  </sheetViews>
  <sheetFormatPr baseColWidth="10" defaultRowHeight="16" x14ac:dyDescent="0.2"/>
  <sheetData>
    <row r="1" spans="1:52" x14ac:dyDescent="0.2">
      <c r="A1" s="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121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109</v>
      </c>
      <c r="AL1" t="s">
        <v>110</v>
      </c>
      <c r="AM1" t="s">
        <v>111</v>
      </c>
      <c r="AN1" t="s">
        <v>112</v>
      </c>
      <c r="AO1" t="s">
        <v>128</v>
      </c>
      <c r="AP1" t="s">
        <v>129</v>
      </c>
      <c r="AQ1" t="s">
        <v>130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131</v>
      </c>
      <c r="AY1" t="s">
        <v>119</v>
      </c>
      <c r="AZ1" t="s">
        <v>120</v>
      </c>
    </row>
    <row r="2" spans="1:52" x14ac:dyDescent="0.2">
      <c r="A2" s="6">
        <v>2023</v>
      </c>
      <c r="B2" s="7">
        <v>27</v>
      </c>
      <c r="C2" s="7">
        <v>8</v>
      </c>
      <c r="D2" s="7">
        <v>26</v>
      </c>
      <c r="E2" s="7">
        <v>28.8</v>
      </c>
      <c r="F2" s="7">
        <v>39</v>
      </c>
      <c r="G2" s="7">
        <v>21</v>
      </c>
      <c r="H2" s="7">
        <v>47</v>
      </c>
      <c r="I2" s="7">
        <v>22</v>
      </c>
      <c r="J2" s="7">
        <v>24</v>
      </c>
      <c r="K2" s="7">
        <v>38</v>
      </c>
      <c r="L2" s="7">
        <v>31</v>
      </c>
      <c r="M2" s="7">
        <v>16</v>
      </c>
      <c r="N2" s="7">
        <v>33</v>
      </c>
      <c r="O2" s="7">
        <v>47</v>
      </c>
      <c r="P2" s="7">
        <v>52</v>
      </c>
      <c r="Q2" s="7">
        <v>33.5</v>
      </c>
      <c r="R2" s="7">
        <v>26</v>
      </c>
      <c r="S2" s="7">
        <v>22</v>
      </c>
      <c r="T2" s="7">
        <v>20</v>
      </c>
      <c r="U2" s="7">
        <v>31.2</v>
      </c>
      <c r="V2" s="7">
        <v>37</v>
      </c>
      <c r="W2" s="7">
        <v>24</v>
      </c>
      <c r="X2" s="7">
        <v>26</v>
      </c>
      <c r="Y2" s="7">
        <v>28.5</v>
      </c>
      <c r="Z2" s="7">
        <v>18</v>
      </c>
      <c r="AA2" s="7">
        <v>17</v>
      </c>
      <c r="AB2" s="7">
        <v>30</v>
      </c>
      <c r="AC2" s="7">
        <v>34.1</v>
      </c>
      <c r="AD2" s="7">
        <v>27</v>
      </c>
      <c r="AE2" s="7">
        <v>24</v>
      </c>
      <c r="AF2" s="7">
        <v>40</v>
      </c>
      <c r="AG2" s="7">
        <v>21</v>
      </c>
      <c r="AH2" s="7">
        <v>24</v>
      </c>
      <c r="AI2" s="7">
        <v>36</v>
      </c>
      <c r="AJ2" s="7">
        <v>23</v>
      </c>
      <c r="AK2" s="7">
        <v>47</v>
      </c>
      <c r="AL2" s="7">
        <v>20</v>
      </c>
      <c r="AM2" s="7">
        <v>36</v>
      </c>
      <c r="AN2" s="7">
        <v>74</v>
      </c>
      <c r="AO2" s="7">
        <v>35</v>
      </c>
      <c r="AP2" s="7">
        <v>24</v>
      </c>
      <c r="AQ2" s="7">
        <v>30</v>
      </c>
      <c r="AR2" s="7">
        <v>27</v>
      </c>
      <c r="AS2" s="7">
        <v>20</v>
      </c>
      <c r="AT2" s="7">
        <v>30</v>
      </c>
      <c r="AU2" s="7">
        <v>31</v>
      </c>
      <c r="AV2" s="7">
        <v>20</v>
      </c>
      <c r="AW2" s="7">
        <v>49.4</v>
      </c>
      <c r="AX2" s="7">
        <v>35.700000000000003</v>
      </c>
      <c r="AY2" s="7">
        <v>30.9</v>
      </c>
      <c r="AZ2" s="7">
        <v>24</v>
      </c>
    </row>
    <row r="3" spans="1:52" x14ac:dyDescent="0.2">
      <c r="A3" s="6">
        <v>2022</v>
      </c>
      <c r="B3" s="7">
        <v>27</v>
      </c>
      <c r="C3" s="7">
        <v>8</v>
      </c>
      <c r="D3" s="7">
        <v>26</v>
      </c>
      <c r="E3" s="7">
        <v>28.8</v>
      </c>
      <c r="F3" s="7">
        <v>39</v>
      </c>
      <c r="G3" s="7">
        <v>21</v>
      </c>
      <c r="H3" s="7">
        <v>47</v>
      </c>
      <c r="I3" s="7">
        <v>22</v>
      </c>
      <c r="J3" s="7">
        <v>24</v>
      </c>
      <c r="K3" s="7">
        <v>38</v>
      </c>
      <c r="L3" s="7">
        <v>31</v>
      </c>
      <c r="M3" s="7">
        <v>16</v>
      </c>
      <c r="N3" s="7">
        <v>33</v>
      </c>
      <c r="O3" s="7">
        <v>47</v>
      </c>
      <c r="P3" s="7">
        <v>52</v>
      </c>
      <c r="Q3" s="7">
        <v>33.5</v>
      </c>
      <c r="R3" s="7">
        <v>26</v>
      </c>
      <c r="S3" s="7">
        <v>22</v>
      </c>
      <c r="T3" s="7">
        <v>20</v>
      </c>
      <c r="U3" s="7">
        <v>31.2</v>
      </c>
      <c r="V3" s="7">
        <v>37</v>
      </c>
      <c r="W3" s="7">
        <v>24</v>
      </c>
      <c r="X3" s="7">
        <v>26</v>
      </c>
      <c r="Y3" s="7">
        <v>28.5</v>
      </c>
      <c r="Z3" s="7">
        <v>18</v>
      </c>
      <c r="AA3" s="7">
        <v>17</v>
      </c>
      <c r="AB3" s="7">
        <v>30</v>
      </c>
      <c r="AC3" s="7">
        <v>34.1</v>
      </c>
      <c r="AD3" s="7">
        <v>27</v>
      </c>
      <c r="AE3" s="7">
        <v>24</v>
      </c>
      <c r="AF3" s="7">
        <v>40</v>
      </c>
      <c r="AG3" s="7">
        <v>21</v>
      </c>
      <c r="AH3" s="7">
        <v>24</v>
      </c>
      <c r="AI3" s="7">
        <v>36</v>
      </c>
      <c r="AJ3" s="7">
        <v>23</v>
      </c>
      <c r="AK3" s="7">
        <v>47</v>
      </c>
      <c r="AL3" s="7">
        <v>20</v>
      </c>
      <c r="AM3" s="7">
        <v>36</v>
      </c>
      <c r="AN3" s="7">
        <v>74</v>
      </c>
      <c r="AO3" s="7">
        <v>35</v>
      </c>
      <c r="AP3" s="7">
        <v>24</v>
      </c>
      <c r="AQ3" s="7">
        <v>30</v>
      </c>
      <c r="AR3" s="7">
        <v>27</v>
      </c>
      <c r="AS3" s="7">
        <v>20</v>
      </c>
      <c r="AT3" s="7">
        <v>30</v>
      </c>
      <c r="AU3" s="7">
        <v>31</v>
      </c>
      <c r="AV3" s="7">
        <v>20</v>
      </c>
      <c r="AW3" s="7">
        <v>49.4</v>
      </c>
      <c r="AX3" s="7">
        <v>35.700000000000003</v>
      </c>
      <c r="AY3" s="7">
        <v>30.9</v>
      </c>
      <c r="AZ3" s="7">
        <v>24</v>
      </c>
    </row>
    <row r="4" spans="1:52" x14ac:dyDescent="0.2">
      <c r="A4" s="6">
        <v>2021</v>
      </c>
      <c r="B4" s="7">
        <v>27</v>
      </c>
      <c r="C4" s="7">
        <v>8</v>
      </c>
      <c r="D4" s="7">
        <v>26</v>
      </c>
      <c r="E4" s="7">
        <v>28.8</v>
      </c>
      <c r="F4" s="7">
        <v>39</v>
      </c>
      <c r="G4" s="7">
        <v>21</v>
      </c>
      <c r="H4" s="7">
        <v>47</v>
      </c>
      <c r="I4" s="7">
        <v>22</v>
      </c>
      <c r="J4" s="7">
        <v>24</v>
      </c>
      <c r="K4" s="7">
        <v>38</v>
      </c>
      <c r="L4" s="7">
        <v>31</v>
      </c>
      <c r="M4" s="7">
        <v>16</v>
      </c>
      <c r="N4" s="7">
        <v>33</v>
      </c>
      <c r="O4" s="7">
        <v>47</v>
      </c>
      <c r="P4" s="7">
        <v>52</v>
      </c>
      <c r="Q4" s="7">
        <v>33.5</v>
      </c>
      <c r="R4" s="7">
        <v>26</v>
      </c>
      <c r="S4" s="7">
        <v>22</v>
      </c>
      <c r="T4" s="7">
        <v>20</v>
      </c>
      <c r="U4" s="7">
        <v>31.2</v>
      </c>
      <c r="V4" s="7">
        <v>37</v>
      </c>
      <c r="W4" s="7">
        <v>24</v>
      </c>
      <c r="X4" s="7">
        <v>26</v>
      </c>
      <c r="Y4" s="7">
        <v>28.5</v>
      </c>
      <c r="Z4" s="7">
        <v>18</v>
      </c>
      <c r="AA4" s="7">
        <v>17</v>
      </c>
      <c r="AB4" s="7">
        <v>30</v>
      </c>
      <c r="AC4" s="7">
        <v>34.1</v>
      </c>
      <c r="AD4" s="7">
        <v>27</v>
      </c>
      <c r="AE4" s="7">
        <v>24</v>
      </c>
      <c r="AF4" s="7">
        <v>40</v>
      </c>
      <c r="AG4" s="7">
        <v>21</v>
      </c>
      <c r="AH4" s="7">
        <v>24</v>
      </c>
      <c r="AI4" s="7">
        <v>36</v>
      </c>
      <c r="AJ4" s="7">
        <v>23</v>
      </c>
      <c r="AK4" s="7">
        <v>47</v>
      </c>
      <c r="AL4" s="7">
        <v>20</v>
      </c>
      <c r="AM4" s="7">
        <v>36</v>
      </c>
      <c r="AN4" s="7">
        <v>74</v>
      </c>
      <c r="AO4" s="7">
        <v>35</v>
      </c>
      <c r="AP4" s="7">
        <v>24</v>
      </c>
      <c r="AQ4" s="7">
        <v>30</v>
      </c>
      <c r="AR4" s="7">
        <v>27</v>
      </c>
      <c r="AS4" s="7">
        <v>20</v>
      </c>
      <c r="AT4" s="7">
        <v>30</v>
      </c>
      <c r="AU4" s="7">
        <v>31</v>
      </c>
      <c r="AV4" s="7">
        <v>20</v>
      </c>
      <c r="AW4" s="7">
        <v>49.4</v>
      </c>
      <c r="AX4" s="7">
        <v>35.700000000000003</v>
      </c>
      <c r="AY4" s="7">
        <v>30.9</v>
      </c>
      <c r="AZ4" s="7">
        <v>24</v>
      </c>
    </row>
    <row r="5" spans="1:52" x14ac:dyDescent="0.2">
      <c r="A5" s="4">
        <v>2020</v>
      </c>
      <c r="B5">
        <v>27</v>
      </c>
      <c r="C5">
        <v>8</v>
      </c>
      <c r="D5">
        <v>26</v>
      </c>
      <c r="E5">
        <v>28.8</v>
      </c>
      <c r="F5">
        <v>39</v>
      </c>
      <c r="G5">
        <v>21</v>
      </c>
      <c r="H5">
        <v>47</v>
      </c>
      <c r="I5">
        <v>22</v>
      </c>
      <c r="J5">
        <v>24</v>
      </c>
      <c r="K5">
        <v>38</v>
      </c>
      <c r="L5">
        <v>31</v>
      </c>
      <c r="M5">
        <v>16</v>
      </c>
      <c r="N5">
        <v>33</v>
      </c>
      <c r="O5">
        <v>47</v>
      </c>
      <c r="P5">
        <v>52</v>
      </c>
      <c r="Q5">
        <v>33.5</v>
      </c>
      <c r="R5">
        <v>26</v>
      </c>
      <c r="S5">
        <v>22</v>
      </c>
      <c r="T5">
        <v>20</v>
      </c>
      <c r="U5">
        <v>31.2</v>
      </c>
      <c r="V5">
        <v>37</v>
      </c>
      <c r="W5">
        <v>24</v>
      </c>
      <c r="X5">
        <v>26</v>
      </c>
      <c r="Y5">
        <v>28.5</v>
      </c>
      <c r="Z5">
        <v>18</v>
      </c>
      <c r="AA5">
        <v>17</v>
      </c>
      <c r="AB5">
        <v>30</v>
      </c>
      <c r="AC5">
        <v>34.1</v>
      </c>
      <c r="AD5">
        <v>27</v>
      </c>
      <c r="AE5">
        <v>24</v>
      </c>
      <c r="AF5">
        <v>40</v>
      </c>
      <c r="AG5">
        <v>21</v>
      </c>
      <c r="AH5">
        <v>24</v>
      </c>
      <c r="AI5">
        <v>36</v>
      </c>
      <c r="AJ5">
        <v>23</v>
      </c>
      <c r="AK5">
        <v>47</v>
      </c>
      <c r="AL5">
        <v>20</v>
      </c>
      <c r="AM5">
        <v>36</v>
      </c>
      <c r="AN5">
        <v>74</v>
      </c>
      <c r="AO5">
        <v>35</v>
      </c>
      <c r="AP5">
        <v>24</v>
      </c>
      <c r="AQ5">
        <v>30</v>
      </c>
      <c r="AR5">
        <v>27</v>
      </c>
      <c r="AS5">
        <v>20</v>
      </c>
      <c r="AT5">
        <v>30</v>
      </c>
      <c r="AU5">
        <v>31</v>
      </c>
      <c r="AV5">
        <v>20</v>
      </c>
      <c r="AW5">
        <v>49.4</v>
      </c>
      <c r="AX5">
        <v>35.700000000000003</v>
      </c>
      <c r="AY5">
        <v>30.9</v>
      </c>
      <c r="AZ5">
        <v>24</v>
      </c>
    </row>
    <row r="6" spans="1:52" x14ac:dyDescent="0.2">
      <c r="A6" s="4">
        <v>2019</v>
      </c>
      <c r="B6">
        <v>27</v>
      </c>
      <c r="C6">
        <v>8</v>
      </c>
      <c r="D6">
        <v>26</v>
      </c>
      <c r="E6">
        <v>28.8</v>
      </c>
      <c r="F6">
        <v>36</v>
      </c>
      <c r="G6">
        <v>21</v>
      </c>
      <c r="H6">
        <v>47</v>
      </c>
      <c r="I6">
        <v>22</v>
      </c>
      <c r="J6">
        <v>24</v>
      </c>
      <c r="K6">
        <v>37</v>
      </c>
      <c r="L6">
        <v>31</v>
      </c>
      <c r="M6">
        <v>16</v>
      </c>
      <c r="N6">
        <v>33</v>
      </c>
      <c r="O6">
        <v>47</v>
      </c>
      <c r="P6">
        <v>50</v>
      </c>
      <c r="Q6">
        <v>33.5</v>
      </c>
      <c r="R6">
        <v>26</v>
      </c>
      <c r="S6">
        <v>22</v>
      </c>
      <c r="T6">
        <v>20</v>
      </c>
      <c r="U6">
        <v>31.2</v>
      </c>
      <c r="V6">
        <v>37</v>
      </c>
      <c r="W6">
        <v>24</v>
      </c>
      <c r="X6">
        <v>26</v>
      </c>
      <c r="Y6">
        <v>28.5</v>
      </c>
      <c r="Z6">
        <v>18</v>
      </c>
      <c r="AA6">
        <v>17</v>
      </c>
      <c r="AB6">
        <v>30</v>
      </c>
      <c r="AC6">
        <v>30.6</v>
      </c>
      <c r="AD6">
        <v>27</v>
      </c>
      <c r="AE6">
        <v>24</v>
      </c>
      <c r="AF6">
        <v>40</v>
      </c>
      <c r="AG6">
        <v>21</v>
      </c>
      <c r="AH6">
        <v>24</v>
      </c>
      <c r="AI6">
        <v>36</v>
      </c>
      <c r="AJ6">
        <v>23</v>
      </c>
      <c r="AK6">
        <v>47</v>
      </c>
      <c r="AL6">
        <v>20</v>
      </c>
      <c r="AM6">
        <v>34</v>
      </c>
      <c r="AN6">
        <v>74</v>
      </c>
      <c r="AO6">
        <v>35</v>
      </c>
      <c r="AP6">
        <v>22</v>
      </c>
      <c r="AQ6">
        <v>30</v>
      </c>
      <c r="AR6">
        <v>27</v>
      </c>
      <c r="AS6">
        <v>20</v>
      </c>
      <c r="AT6">
        <v>30</v>
      </c>
      <c r="AU6">
        <v>31</v>
      </c>
      <c r="AV6">
        <v>20</v>
      </c>
      <c r="AW6">
        <v>49.4</v>
      </c>
      <c r="AX6">
        <v>35.700000000000003</v>
      </c>
      <c r="AY6">
        <v>30.9</v>
      </c>
      <c r="AZ6">
        <v>24</v>
      </c>
    </row>
    <row r="7" spans="1:52" x14ac:dyDescent="0.2">
      <c r="A7" s="4">
        <v>2018</v>
      </c>
      <c r="B7">
        <v>21</v>
      </c>
      <c r="C7">
        <v>8</v>
      </c>
      <c r="D7">
        <v>26</v>
      </c>
      <c r="E7">
        <v>22.5</v>
      </c>
      <c r="F7">
        <v>36</v>
      </c>
      <c r="G7">
        <v>21</v>
      </c>
      <c r="H7">
        <v>42</v>
      </c>
      <c r="I7">
        <v>22</v>
      </c>
      <c r="J7">
        <v>24</v>
      </c>
      <c r="K7">
        <v>28</v>
      </c>
      <c r="L7">
        <v>30</v>
      </c>
      <c r="M7">
        <v>16</v>
      </c>
      <c r="N7">
        <v>33</v>
      </c>
      <c r="O7">
        <v>22</v>
      </c>
      <c r="P7">
        <v>49</v>
      </c>
      <c r="Q7">
        <v>33.5</v>
      </c>
      <c r="R7">
        <v>26</v>
      </c>
      <c r="S7">
        <v>22</v>
      </c>
      <c r="T7">
        <v>20</v>
      </c>
      <c r="U7">
        <v>31.2</v>
      </c>
      <c r="V7">
        <v>36</v>
      </c>
      <c r="W7">
        <v>24</v>
      </c>
      <c r="X7">
        <v>26</v>
      </c>
      <c r="Y7">
        <v>28.5</v>
      </c>
      <c r="Z7">
        <v>18</v>
      </c>
      <c r="AA7">
        <v>17</v>
      </c>
      <c r="AB7">
        <v>30</v>
      </c>
      <c r="AC7">
        <v>28.9</v>
      </c>
      <c r="AD7">
        <v>27</v>
      </c>
      <c r="AE7">
        <v>24</v>
      </c>
      <c r="AF7">
        <v>40</v>
      </c>
      <c r="AG7">
        <v>21</v>
      </c>
      <c r="AH7">
        <v>23</v>
      </c>
      <c r="AI7">
        <v>35</v>
      </c>
      <c r="AJ7">
        <v>23</v>
      </c>
      <c r="AK7">
        <v>28</v>
      </c>
      <c r="AL7">
        <v>20</v>
      </c>
      <c r="AM7">
        <v>34</v>
      </c>
      <c r="AN7">
        <v>74</v>
      </c>
      <c r="AO7">
        <v>34</v>
      </c>
      <c r="AP7">
        <v>20</v>
      </c>
      <c r="AQ7">
        <v>30</v>
      </c>
      <c r="AR7">
        <v>24</v>
      </c>
      <c r="AS7">
        <v>20</v>
      </c>
      <c r="AT7">
        <v>29</v>
      </c>
      <c r="AU7">
        <v>31</v>
      </c>
      <c r="AV7">
        <v>20</v>
      </c>
      <c r="AW7">
        <v>49.4</v>
      </c>
      <c r="AX7">
        <v>35.700000000000003</v>
      </c>
      <c r="AY7">
        <v>30.9</v>
      </c>
      <c r="AZ7">
        <v>24</v>
      </c>
    </row>
    <row r="8" spans="1:52" x14ac:dyDescent="0.2">
      <c r="A8" s="4">
        <v>2017</v>
      </c>
      <c r="B8">
        <v>21</v>
      </c>
      <c r="C8">
        <v>8</v>
      </c>
      <c r="D8">
        <v>26</v>
      </c>
      <c r="E8">
        <v>22.5</v>
      </c>
      <c r="F8">
        <v>36</v>
      </c>
      <c r="G8">
        <v>21</v>
      </c>
      <c r="H8">
        <v>42</v>
      </c>
      <c r="I8">
        <v>22</v>
      </c>
      <c r="J8">
        <v>24</v>
      </c>
      <c r="K8">
        <v>27</v>
      </c>
      <c r="L8">
        <v>29</v>
      </c>
      <c r="M8">
        <v>16</v>
      </c>
      <c r="N8">
        <v>33</v>
      </c>
      <c r="O8">
        <v>22</v>
      </c>
      <c r="P8">
        <v>27</v>
      </c>
      <c r="Q8">
        <v>33.5</v>
      </c>
      <c r="R8">
        <v>26</v>
      </c>
      <c r="S8">
        <v>22</v>
      </c>
      <c r="T8">
        <v>20</v>
      </c>
      <c r="U8">
        <v>31.2</v>
      </c>
      <c r="V8">
        <v>35</v>
      </c>
      <c r="W8">
        <v>24</v>
      </c>
      <c r="X8">
        <v>26</v>
      </c>
      <c r="Y8">
        <v>28.5</v>
      </c>
      <c r="Z8">
        <v>18</v>
      </c>
      <c r="AA8">
        <v>17</v>
      </c>
      <c r="AB8">
        <v>30</v>
      </c>
      <c r="AC8">
        <v>27.9</v>
      </c>
      <c r="AD8">
        <v>27</v>
      </c>
      <c r="AE8">
        <v>24</v>
      </c>
      <c r="AF8">
        <v>40</v>
      </c>
      <c r="AG8">
        <v>21</v>
      </c>
      <c r="AH8">
        <v>22</v>
      </c>
      <c r="AI8">
        <v>35</v>
      </c>
      <c r="AJ8">
        <v>23</v>
      </c>
      <c r="AK8">
        <v>28</v>
      </c>
      <c r="AL8">
        <v>14</v>
      </c>
      <c r="AM8">
        <v>30</v>
      </c>
      <c r="AN8">
        <v>75</v>
      </c>
      <c r="AO8">
        <v>33</v>
      </c>
      <c r="AP8">
        <v>18</v>
      </c>
      <c r="AQ8">
        <v>30</v>
      </c>
      <c r="AR8">
        <v>21</v>
      </c>
      <c r="AS8">
        <v>20</v>
      </c>
      <c r="AT8">
        <v>29</v>
      </c>
      <c r="AU8">
        <v>31</v>
      </c>
      <c r="AV8">
        <v>20</v>
      </c>
      <c r="AW8">
        <v>49.4</v>
      </c>
      <c r="AX8">
        <v>35.700000000000003</v>
      </c>
      <c r="AY8">
        <v>30.9</v>
      </c>
      <c r="AZ8">
        <v>24</v>
      </c>
    </row>
    <row r="9" spans="1:52" x14ac:dyDescent="0.2">
      <c r="A9" s="4">
        <v>2016</v>
      </c>
      <c r="B9">
        <v>19</v>
      </c>
      <c r="C9">
        <v>8</v>
      </c>
      <c r="D9">
        <v>26</v>
      </c>
      <c r="E9">
        <v>22.5</v>
      </c>
      <c r="F9">
        <v>13</v>
      </c>
      <c r="G9">
        <v>21</v>
      </c>
      <c r="H9">
        <v>50</v>
      </c>
      <c r="I9">
        <v>22</v>
      </c>
      <c r="J9">
        <v>24</v>
      </c>
      <c r="K9">
        <v>17</v>
      </c>
      <c r="L9">
        <v>29</v>
      </c>
      <c r="M9">
        <v>16</v>
      </c>
      <c r="N9">
        <v>32</v>
      </c>
      <c r="O9">
        <v>22</v>
      </c>
      <c r="P9">
        <v>16</v>
      </c>
      <c r="Q9">
        <v>32.5</v>
      </c>
      <c r="R9">
        <v>26</v>
      </c>
      <c r="S9">
        <v>22</v>
      </c>
      <c r="T9">
        <v>20</v>
      </c>
      <c r="U9">
        <v>31.2</v>
      </c>
      <c r="V9">
        <v>33</v>
      </c>
      <c r="W9">
        <v>24</v>
      </c>
      <c r="X9">
        <v>15</v>
      </c>
      <c r="Y9">
        <v>28.5</v>
      </c>
      <c r="Z9">
        <v>18</v>
      </c>
      <c r="AA9">
        <v>17</v>
      </c>
      <c r="AB9">
        <v>29</v>
      </c>
      <c r="AC9">
        <v>27.7</v>
      </c>
      <c r="AD9">
        <v>27</v>
      </c>
      <c r="AE9">
        <v>24</v>
      </c>
      <c r="AF9">
        <v>14</v>
      </c>
      <c r="AG9">
        <v>21</v>
      </c>
      <c r="AH9">
        <v>24</v>
      </c>
      <c r="AI9">
        <v>35</v>
      </c>
      <c r="AJ9">
        <v>23</v>
      </c>
      <c r="AK9">
        <v>28</v>
      </c>
      <c r="AL9">
        <v>14</v>
      </c>
      <c r="AM9">
        <v>30</v>
      </c>
      <c r="AN9">
        <v>64</v>
      </c>
      <c r="AO9">
        <v>33</v>
      </c>
      <c r="AP9">
        <v>16</v>
      </c>
      <c r="AQ9">
        <v>28</v>
      </c>
      <c r="AR9">
        <v>17</v>
      </c>
      <c r="AS9">
        <v>20</v>
      </c>
      <c r="AT9">
        <v>29</v>
      </c>
      <c r="AU9">
        <v>31</v>
      </c>
      <c r="AV9">
        <v>20</v>
      </c>
      <c r="AW9">
        <v>44.5</v>
      </c>
      <c r="AX9">
        <v>33.200000000000003</v>
      </c>
      <c r="AY9">
        <v>30.9</v>
      </c>
      <c r="AZ9">
        <v>24</v>
      </c>
    </row>
    <row r="10" spans="1:52" x14ac:dyDescent="0.2">
      <c r="A10" s="4">
        <v>2015</v>
      </c>
      <c r="B10">
        <v>19</v>
      </c>
      <c r="C10">
        <v>8</v>
      </c>
      <c r="D10">
        <v>26</v>
      </c>
      <c r="E10">
        <v>22.5</v>
      </c>
      <c r="F10">
        <v>13</v>
      </c>
      <c r="G10">
        <v>21</v>
      </c>
      <c r="H10">
        <v>55</v>
      </c>
      <c r="I10">
        <v>22</v>
      </c>
      <c r="J10">
        <v>24</v>
      </c>
      <c r="K10">
        <v>17</v>
      </c>
      <c r="L10">
        <v>29</v>
      </c>
      <c r="M10">
        <v>17</v>
      </c>
      <c r="N10">
        <v>32</v>
      </c>
      <c r="O10">
        <v>22</v>
      </c>
      <c r="P10">
        <v>16</v>
      </c>
      <c r="Q10">
        <v>32.5</v>
      </c>
      <c r="R10">
        <v>26</v>
      </c>
      <c r="S10">
        <v>22</v>
      </c>
      <c r="T10">
        <v>20</v>
      </c>
      <c r="U10">
        <v>31.2</v>
      </c>
      <c r="V10">
        <v>33</v>
      </c>
      <c r="W10">
        <v>24</v>
      </c>
      <c r="X10">
        <v>15</v>
      </c>
      <c r="Y10">
        <v>28.5</v>
      </c>
      <c r="Z10">
        <v>18</v>
      </c>
      <c r="AA10">
        <v>17</v>
      </c>
      <c r="AB10">
        <v>29</v>
      </c>
      <c r="AC10">
        <v>26.1</v>
      </c>
      <c r="AD10">
        <v>27</v>
      </c>
      <c r="AE10">
        <v>24</v>
      </c>
      <c r="AF10">
        <v>14</v>
      </c>
      <c r="AG10">
        <v>21</v>
      </c>
      <c r="AH10">
        <v>24</v>
      </c>
      <c r="AI10">
        <v>36</v>
      </c>
      <c r="AJ10">
        <v>23</v>
      </c>
      <c r="AK10">
        <v>28</v>
      </c>
      <c r="AL10">
        <v>14</v>
      </c>
      <c r="AM10">
        <v>30</v>
      </c>
      <c r="AN10">
        <v>64</v>
      </c>
      <c r="AO10">
        <v>33</v>
      </c>
      <c r="AP10">
        <v>16</v>
      </c>
      <c r="AQ10">
        <v>28</v>
      </c>
      <c r="AR10">
        <v>17</v>
      </c>
      <c r="AS10">
        <v>20</v>
      </c>
      <c r="AT10">
        <v>25</v>
      </c>
      <c r="AU10">
        <v>31</v>
      </c>
      <c r="AV10">
        <v>20</v>
      </c>
      <c r="AW10">
        <v>44.5</v>
      </c>
      <c r="AX10">
        <v>34.6</v>
      </c>
      <c r="AY10">
        <v>30.9</v>
      </c>
      <c r="AZ10">
        <v>24</v>
      </c>
    </row>
    <row r="11" spans="1:52" x14ac:dyDescent="0.2">
      <c r="A11" s="4">
        <v>2014</v>
      </c>
      <c r="B11">
        <v>19</v>
      </c>
      <c r="C11">
        <v>8</v>
      </c>
      <c r="D11">
        <v>18</v>
      </c>
      <c r="E11">
        <v>21.5</v>
      </c>
      <c r="F11">
        <v>36</v>
      </c>
      <c r="G11">
        <v>22</v>
      </c>
      <c r="H11">
        <v>25</v>
      </c>
      <c r="I11">
        <v>23</v>
      </c>
      <c r="J11">
        <v>24</v>
      </c>
      <c r="K11">
        <v>17</v>
      </c>
      <c r="L11">
        <v>8</v>
      </c>
      <c r="M11">
        <v>17</v>
      </c>
      <c r="N11">
        <v>25</v>
      </c>
      <c r="O11">
        <v>19</v>
      </c>
      <c r="P11">
        <v>18</v>
      </c>
      <c r="Q11">
        <v>21</v>
      </c>
      <c r="R11">
        <v>24</v>
      </c>
      <c r="S11">
        <v>31</v>
      </c>
      <c r="T11">
        <v>20</v>
      </c>
      <c r="U11">
        <v>30</v>
      </c>
      <c r="V11">
        <v>27</v>
      </c>
      <c r="W11">
        <v>24</v>
      </c>
      <c r="X11">
        <v>19</v>
      </c>
      <c r="Y11">
        <v>28.5</v>
      </c>
      <c r="Z11">
        <v>18</v>
      </c>
      <c r="AA11">
        <v>17</v>
      </c>
      <c r="AB11">
        <v>28</v>
      </c>
      <c r="AC11">
        <v>26.4</v>
      </c>
      <c r="AD11">
        <v>24</v>
      </c>
      <c r="AE11">
        <v>24</v>
      </c>
      <c r="AF11">
        <v>11</v>
      </c>
      <c r="AG11">
        <v>17</v>
      </c>
      <c r="AH11">
        <v>26</v>
      </c>
      <c r="AI11">
        <v>37</v>
      </c>
      <c r="AJ11">
        <v>23</v>
      </c>
      <c r="AK11">
        <v>28</v>
      </c>
      <c r="AL11">
        <v>17</v>
      </c>
      <c r="AM11">
        <v>30</v>
      </c>
      <c r="AN11">
        <v>41</v>
      </c>
      <c r="AO11">
        <v>32</v>
      </c>
      <c r="AP11">
        <v>16</v>
      </c>
      <c r="AQ11">
        <v>28</v>
      </c>
      <c r="AR11">
        <v>17</v>
      </c>
      <c r="AS11">
        <v>20</v>
      </c>
      <c r="AT11">
        <v>25</v>
      </c>
      <c r="AU11">
        <v>19</v>
      </c>
      <c r="AV11">
        <v>11</v>
      </c>
      <c r="AW11">
        <v>37.5</v>
      </c>
      <c r="AX11">
        <v>35.700000000000003</v>
      </c>
      <c r="AY11">
        <v>30.9</v>
      </c>
      <c r="AZ11">
        <v>24</v>
      </c>
    </row>
    <row r="12" spans="1:52" x14ac:dyDescent="0.2">
      <c r="A12" s="4">
        <v>2013</v>
      </c>
      <c r="B12">
        <v>19</v>
      </c>
      <c r="C12">
        <v>8</v>
      </c>
      <c r="D12">
        <v>26</v>
      </c>
      <c r="E12">
        <v>22.5</v>
      </c>
      <c r="F12">
        <v>10</v>
      </c>
      <c r="G12">
        <v>21</v>
      </c>
      <c r="H12">
        <v>51</v>
      </c>
      <c r="I12">
        <v>22</v>
      </c>
      <c r="J12">
        <v>24</v>
      </c>
      <c r="K12">
        <v>17</v>
      </c>
      <c r="L12">
        <v>8</v>
      </c>
      <c r="M12">
        <v>17</v>
      </c>
      <c r="N12">
        <v>25</v>
      </c>
      <c r="O12">
        <v>22</v>
      </c>
      <c r="P12">
        <v>16</v>
      </c>
      <c r="Q12">
        <v>22.5</v>
      </c>
      <c r="R12">
        <v>26</v>
      </c>
      <c r="S12">
        <v>28</v>
      </c>
      <c r="T12">
        <v>20</v>
      </c>
      <c r="U12">
        <v>31.2</v>
      </c>
      <c r="V12">
        <v>24</v>
      </c>
      <c r="W12">
        <v>24</v>
      </c>
      <c r="X12">
        <v>15</v>
      </c>
      <c r="Y12">
        <v>28.5</v>
      </c>
      <c r="Z12">
        <v>18</v>
      </c>
      <c r="AA12">
        <v>17</v>
      </c>
      <c r="AB12">
        <v>29</v>
      </c>
      <c r="AC12">
        <v>26.3</v>
      </c>
      <c r="AD12">
        <v>27</v>
      </c>
      <c r="AE12">
        <v>20</v>
      </c>
      <c r="AF12">
        <v>14</v>
      </c>
      <c r="AG12">
        <v>21</v>
      </c>
      <c r="AH12">
        <v>25</v>
      </c>
      <c r="AI12">
        <v>38</v>
      </c>
      <c r="AJ12">
        <v>23</v>
      </c>
      <c r="AK12">
        <v>28</v>
      </c>
      <c r="AL12">
        <v>14</v>
      </c>
      <c r="AM12">
        <v>30</v>
      </c>
      <c r="AN12">
        <v>38</v>
      </c>
      <c r="AO12">
        <v>32</v>
      </c>
      <c r="AP12">
        <v>16</v>
      </c>
      <c r="AQ12">
        <v>28</v>
      </c>
      <c r="AR12">
        <v>17</v>
      </c>
      <c r="AS12">
        <v>20</v>
      </c>
      <c r="AT12">
        <v>25</v>
      </c>
      <c r="AU12">
        <v>45</v>
      </c>
      <c r="AV12">
        <v>20</v>
      </c>
      <c r="AW12">
        <v>37.5</v>
      </c>
      <c r="AX12">
        <v>34.700000000000003</v>
      </c>
      <c r="AY12">
        <v>30.9</v>
      </c>
      <c r="AZ12">
        <v>24</v>
      </c>
    </row>
    <row r="13" spans="1:52" x14ac:dyDescent="0.2">
      <c r="A13" s="4">
        <v>2012</v>
      </c>
      <c r="B13">
        <v>19</v>
      </c>
      <c r="C13">
        <v>8</v>
      </c>
      <c r="D13">
        <v>26</v>
      </c>
      <c r="E13">
        <v>22.5</v>
      </c>
      <c r="F13">
        <v>10</v>
      </c>
      <c r="G13">
        <v>20.5</v>
      </c>
      <c r="H13">
        <v>51.2</v>
      </c>
      <c r="I13">
        <v>22</v>
      </c>
      <c r="J13">
        <v>23.5</v>
      </c>
      <c r="K13">
        <v>16.600000000000001</v>
      </c>
      <c r="L13">
        <v>7.5</v>
      </c>
      <c r="M13">
        <v>17</v>
      </c>
      <c r="N13">
        <v>25</v>
      </c>
      <c r="O13">
        <v>21.5</v>
      </c>
      <c r="P13">
        <v>16</v>
      </c>
      <c r="Q13">
        <v>22.5</v>
      </c>
      <c r="R13">
        <v>26</v>
      </c>
      <c r="S13">
        <v>25.5</v>
      </c>
      <c r="T13">
        <v>20</v>
      </c>
      <c r="U13">
        <v>31.2</v>
      </c>
      <c r="V13">
        <v>24.25</v>
      </c>
      <c r="W13">
        <v>21</v>
      </c>
      <c r="X13">
        <v>15</v>
      </c>
      <c r="Y13">
        <v>28.5</v>
      </c>
      <c r="Z13">
        <v>18.399999999999999</v>
      </c>
      <c r="AA13">
        <v>17</v>
      </c>
      <c r="AB13">
        <v>28.5</v>
      </c>
      <c r="AC13">
        <v>26.2</v>
      </c>
      <c r="AD13">
        <v>27</v>
      </c>
      <c r="AE13">
        <v>19.625</v>
      </c>
      <c r="AF13">
        <v>13.5</v>
      </c>
      <c r="AG13">
        <v>22.875</v>
      </c>
      <c r="AH13">
        <v>24.05</v>
      </c>
      <c r="AI13">
        <v>35.25</v>
      </c>
      <c r="AJ13">
        <v>23</v>
      </c>
      <c r="AK13">
        <v>28</v>
      </c>
      <c r="AL13">
        <v>14</v>
      </c>
      <c r="AM13">
        <v>30</v>
      </c>
      <c r="AN13">
        <v>38.1</v>
      </c>
      <c r="AO13">
        <v>32</v>
      </c>
      <c r="AP13">
        <v>16</v>
      </c>
      <c r="AQ13">
        <v>22</v>
      </c>
      <c r="AR13">
        <v>17</v>
      </c>
      <c r="AS13">
        <v>20</v>
      </c>
      <c r="AT13">
        <v>24.5</v>
      </c>
      <c r="AU13">
        <v>29</v>
      </c>
      <c r="AV13">
        <v>17.5</v>
      </c>
      <c r="AW13">
        <v>37.5</v>
      </c>
      <c r="AX13">
        <v>33.4</v>
      </c>
      <c r="AY13">
        <v>30.9</v>
      </c>
      <c r="AZ13">
        <v>14</v>
      </c>
    </row>
    <row r="14" spans="1:52" x14ac:dyDescent="0.2">
      <c r="A14" s="4">
        <v>2011</v>
      </c>
      <c r="B14">
        <v>19</v>
      </c>
      <c r="C14">
        <v>8</v>
      </c>
      <c r="D14">
        <v>26</v>
      </c>
      <c r="E14">
        <v>22.5</v>
      </c>
      <c r="F14">
        <v>13</v>
      </c>
      <c r="G14">
        <v>20.5</v>
      </c>
      <c r="H14">
        <v>39.6</v>
      </c>
      <c r="I14">
        <v>22</v>
      </c>
      <c r="J14">
        <v>20</v>
      </c>
      <c r="K14">
        <v>16.2</v>
      </c>
      <c r="L14">
        <v>7.5</v>
      </c>
      <c r="M14">
        <v>17</v>
      </c>
      <c r="N14">
        <v>25</v>
      </c>
      <c r="O14">
        <v>21.5</v>
      </c>
      <c r="P14">
        <v>16</v>
      </c>
      <c r="Q14">
        <v>22.5</v>
      </c>
      <c r="R14">
        <v>26</v>
      </c>
      <c r="S14">
        <v>23.4</v>
      </c>
      <c r="T14">
        <v>20</v>
      </c>
      <c r="U14">
        <v>30.7</v>
      </c>
      <c r="V14">
        <v>24.25</v>
      </c>
      <c r="W14">
        <v>21</v>
      </c>
      <c r="X14">
        <v>15</v>
      </c>
      <c r="Y14">
        <v>28</v>
      </c>
      <c r="Z14">
        <v>18.399999999999999</v>
      </c>
      <c r="AA14">
        <v>17</v>
      </c>
      <c r="AB14">
        <v>28.5</v>
      </c>
      <c r="AC14">
        <v>26.3</v>
      </c>
      <c r="AD14">
        <v>27</v>
      </c>
      <c r="AE14">
        <v>19.600000000000001</v>
      </c>
      <c r="AF14">
        <v>13.5</v>
      </c>
      <c r="AG14">
        <v>22.875</v>
      </c>
      <c r="AH14">
        <v>23.25</v>
      </c>
      <c r="AI14">
        <v>35.25</v>
      </c>
      <c r="AJ14">
        <v>23</v>
      </c>
      <c r="AK14">
        <v>28</v>
      </c>
      <c r="AL14">
        <v>14</v>
      </c>
      <c r="AM14">
        <v>24</v>
      </c>
      <c r="AN14">
        <v>38.1</v>
      </c>
      <c r="AO14">
        <v>32</v>
      </c>
      <c r="AP14">
        <v>16</v>
      </c>
      <c r="AQ14">
        <v>22</v>
      </c>
      <c r="AR14">
        <v>17</v>
      </c>
      <c r="AS14">
        <v>20</v>
      </c>
      <c r="AT14">
        <v>24.5</v>
      </c>
      <c r="AU14">
        <v>29</v>
      </c>
      <c r="AV14">
        <v>17.5</v>
      </c>
      <c r="AW14">
        <v>37.5</v>
      </c>
      <c r="AX14">
        <v>32.200000000000003</v>
      </c>
      <c r="AY14">
        <v>30.9</v>
      </c>
      <c r="AZ14">
        <v>14</v>
      </c>
    </row>
    <row r="15" spans="1:52" x14ac:dyDescent="0.2">
      <c r="A15" s="4">
        <v>2010</v>
      </c>
      <c r="B15">
        <v>19</v>
      </c>
      <c r="C15">
        <v>8</v>
      </c>
      <c r="D15">
        <v>26</v>
      </c>
      <c r="E15">
        <v>22.5</v>
      </c>
      <c r="F15">
        <v>18</v>
      </c>
      <c r="G15">
        <v>20.5</v>
      </c>
      <c r="H15">
        <v>39.6</v>
      </c>
      <c r="I15">
        <v>22</v>
      </c>
      <c r="J15">
        <v>20</v>
      </c>
      <c r="K15">
        <v>16</v>
      </c>
      <c r="L15">
        <v>7.5</v>
      </c>
      <c r="M15">
        <v>17</v>
      </c>
      <c r="N15">
        <v>25</v>
      </c>
      <c r="O15">
        <v>21.5</v>
      </c>
      <c r="P15">
        <v>16</v>
      </c>
      <c r="Q15">
        <v>22.5</v>
      </c>
      <c r="R15">
        <v>26</v>
      </c>
      <c r="S15">
        <v>22.6</v>
      </c>
      <c r="T15">
        <v>20</v>
      </c>
      <c r="U15">
        <v>30.7</v>
      </c>
      <c r="V15">
        <v>24.25</v>
      </c>
      <c r="W15">
        <v>21</v>
      </c>
      <c r="X15">
        <v>15</v>
      </c>
      <c r="Y15">
        <v>27.5</v>
      </c>
      <c r="Z15">
        <v>18.399999999999999</v>
      </c>
      <c r="AA15">
        <v>17</v>
      </c>
      <c r="AB15">
        <v>28.5</v>
      </c>
      <c r="AC15">
        <v>27.1</v>
      </c>
      <c r="AD15">
        <v>27</v>
      </c>
      <c r="AE15">
        <v>19.600000000000001</v>
      </c>
      <c r="AF15">
        <v>13.5</v>
      </c>
      <c r="AG15">
        <v>22.9</v>
      </c>
      <c r="AH15">
        <v>22.55</v>
      </c>
      <c r="AI15">
        <v>32.15</v>
      </c>
      <c r="AJ15">
        <v>23</v>
      </c>
      <c r="AK15">
        <v>28</v>
      </c>
      <c r="AL15">
        <v>14</v>
      </c>
      <c r="AM15">
        <v>24</v>
      </c>
      <c r="AN15">
        <v>38.1</v>
      </c>
      <c r="AO15">
        <v>32</v>
      </c>
      <c r="AP15">
        <v>16</v>
      </c>
      <c r="AQ15">
        <v>22</v>
      </c>
      <c r="AR15">
        <v>17</v>
      </c>
      <c r="AS15">
        <v>20</v>
      </c>
      <c r="AT15">
        <v>24.5</v>
      </c>
      <c r="AU15">
        <v>29</v>
      </c>
      <c r="AV15">
        <v>17.5</v>
      </c>
      <c r="AW15">
        <v>37.5</v>
      </c>
      <c r="AX15">
        <v>32.200000000000003</v>
      </c>
      <c r="AY15">
        <v>30.9</v>
      </c>
      <c r="AZ15">
        <v>14</v>
      </c>
    </row>
    <row r="16" spans="1:52" x14ac:dyDescent="0.2">
      <c r="A16" s="4">
        <v>2009</v>
      </c>
      <c r="B16">
        <v>19</v>
      </c>
      <c r="C16">
        <v>8</v>
      </c>
      <c r="D16">
        <v>26</v>
      </c>
      <c r="E16">
        <v>22.5</v>
      </c>
      <c r="F16">
        <v>18</v>
      </c>
      <c r="G16">
        <v>20.5</v>
      </c>
      <c r="H16">
        <v>43.4</v>
      </c>
      <c r="I16">
        <v>22</v>
      </c>
      <c r="J16">
        <v>20</v>
      </c>
      <c r="K16">
        <v>16.100000000000001</v>
      </c>
      <c r="L16">
        <v>7.5</v>
      </c>
      <c r="M16">
        <v>17</v>
      </c>
      <c r="N16">
        <v>25</v>
      </c>
      <c r="O16">
        <v>21.5</v>
      </c>
      <c r="P16">
        <v>16</v>
      </c>
      <c r="Q16">
        <v>22.5</v>
      </c>
      <c r="R16">
        <v>26</v>
      </c>
      <c r="S16">
        <v>21.1</v>
      </c>
      <c r="T16">
        <v>20</v>
      </c>
      <c r="U16">
        <v>30.7</v>
      </c>
      <c r="V16">
        <v>24.25</v>
      </c>
      <c r="W16">
        <v>21</v>
      </c>
      <c r="X16">
        <v>15</v>
      </c>
      <c r="Y16">
        <v>27.1</v>
      </c>
      <c r="Z16">
        <v>18.399999999999999</v>
      </c>
      <c r="AA16">
        <v>17</v>
      </c>
      <c r="AB16">
        <v>27.75</v>
      </c>
      <c r="AC16">
        <v>26.4</v>
      </c>
      <c r="AD16">
        <v>27</v>
      </c>
      <c r="AE16">
        <v>19.600000000000001</v>
      </c>
      <c r="AF16">
        <v>13.5</v>
      </c>
      <c r="AG16">
        <v>22.9</v>
      </c>
      <c r="AH16">
        <v>23.35</v>
      </c>
      <c r="AI16">
        <v>30.15</v>
      </c>
      <c r="AJ16">
        <v>23</v>
      </c>
      <c r="AK16">
        <v>28</v>
      </c>
      <c r="AL16">
        <v>14</v>
      </c>
      <c r="AM16">
        <v>24</v>
      </c>
      <c r="AN16">
        <v>38.1</v>
      </c>
      <c r="AO16">
        <v>30</v>
      </c>
      <c r="AP16">
        <v>16</v>
      </c>
      <c r="AQ16">
        <v>22</v>
      </c>
      <c r="AR16">
        <v>17</v>
      </c>
      <c r="AS16">
        <v>20</v>
      </c>
      <c r="AT16">
        <v>24.5</v>
      </c>
      <c r="AU16">
        <v>26</v>
      </c>
      <c r="AV16">
        <v>17.5</v>
      </c>
      <c r="AW16">
        <v>37.5</v>
      </c>
      <c r="AX16">
        <v>32.200000000000003</v>
      </c>
      <c r="AY16">
        <v>30.9</v>
      </c>
      <c r="AZ16">
        <v>14</v>
      </c>
    </row>
    <row r="17" spans="1:52" x14ac:dyDescent="0.2">
      <c r="A17" s="4">
        <v>2008</v>
      </c>
      <c r="B17">
        <v>19</v>
      </c>
      <c r="C17">
        <v>8</v>
      </c>
      <c r="D17">
        <v>26</v>
      </c>
      <c r="E17">
        <v>22.5</v>
      </c>
      <c r="F17">
        <v>18</v>
      </c>
      <c r="G17">
        <v>20.5</v>
      </c>
      <c r="H17">
        <v>43.4</v>
      </c>
      <c r="I17">
        <v>22</v>
      </c>
      <c r="J17">
        <v>20</v>
      </c>
      <c r="K17">
        <v>15.6</v>
      </c>
      <c r="L17">
        <v>7.5</v>
      </c>
      <c r="M17">
        <v>17</v>
      </c>
      <c r="N17">
        <v>25</v>
      </c>
      <c r="O17">
        <v>21.5</v>
      </c>
      <c r="P17">
        <v>16</v>
      </c>
      <c r="Q17">
        <v>22.5</v>
      </c>
      <c r="R17">
        <v>26</v>
      </c>
      <c r="S17">
        <v>19.5</v>
      </c>
      <c r="T17">
        <v>20</v>
      </c>
      <c r="U17">
        <v>29.8</v>
      </c>
      <c r="V17">
        <v>24.25</v>
      </c>
      <c r="W17">
        <v>21</v>
      </c>
      <c r="X17">
        <v>15</v>
      </c>
      <c r="Y17">
        <v>20</v>
      </c>
      <c r="Z17">
        <v>18.399999999999999</v>
      </c>
      <c r="AA17">
        <v>17</v>
      </c>
      <c r="AB17">
        <v>27.75</v>
      </c>
      <c r="AC17">
        <v>26</v>
      </c>
      <c r="AD17">
        <v>27</v>
      </c>
      <c r="AE17">
        <v>19.600000000000001</v>
      </c>
      <c r="AF17">
        <v>13.5</v>
      </c>
      <c r="AG17">
        <v>22.9</v>
      </c>
      <c r="AH17">
        <v>22.65</v>
      </c>
      <c r="AI17">
        <v>30.15</v>
      </c>
      <c r="AJ17">
        <v>23</v>
      </c>
      <c r="AK17">
        <v>28</v>
      </c>
      <c r="AL17">
        <v>14</v>
      </c>
      <c r="AM17">
        <v>24</v>
      </c>
      <c r="AN17">
        <v>38.1</v>
      </c>
      <c r="AO17">
        <v>30</v>
      </c>
      <c r="AP17">
        <v>16</v>
      </c>
      <c r="AQ17">
        <v>22</v>
      </c>
      <c r="AR17">
        <v>17</v>
      </c>
      <c r="AS17">
        <v>20</v>
      </c>
      <c r="AT17">
        <v>24.5</v>
      </c>
      <c r="AU17">
        <v>27</v>
      </c>
      <c r="AV17">
        <v>17.5</v>
      </c>
      <c r="AW17">
        <v>37.5</v>
      </c>
      <c r="AX17">
        <v>32.200000000000003</v>
      </c>
      <c r="AY17">
        <v>30.9</v>
      </c>
      <c r="AZ17">
        <v>14</v>
      </c>
    </row>
    <row r="18" spans="1:52" x14ac:dyDescent="0.2">
      <c r="A18" s="4">
        <v>2007</v>
      </c>
      <c r="B18">
        <v>19</v>
      </c>
      <c r="C18">
        <v>8</v>
      </c>
      <c r="D18">
        <v>26</v>
      </c>
      <c r="E18">
        <v>22.5</v>
      </c>
      <c r="F18">
        <v>18</v>
      </c>
      <c r="G18">
        <v>20.5</v>
      </c>
      <c r="H18">
        <v>37</v>
      </c>
      <c r="I18">
        <v>22</v>
      </c>
      <c r="J18">
        <v>20</v>
      </c>
      <c r="K18">
        <v>28.5</v>
      </c>
      <c r="L18">
        <v>7.5</v>
      </c>
      <c r="M18">
        <v>17</v>
      </c>
      <c r="N18">
        <v>25</v>
      </c>
      <c r="O18">
        <v>21.5</v>
      </c>
      <c r="P18">
        <v>16</v>
      </c>
      <c r="Q18">
        <v>22.5</v>
      </c>
      <c r="R18">
        <v>26</v>
      </c>
      <c r="S18">
        <v>18</v>
      </c>
      <c r="T18">
        <v>20</v>
      </c>
      <c r="U18">
        <v>28.8</v>
      </c>
      <c r="V18">
        <v>24.25</v>
      </c>
      <c r="W18">
        <v>21</v>
      </c>
      <c r="X18">
        <v>15</v>
      </c>
      <c r="Y18">
        <v>20</v>
      </c>
      <c r="Z18">
        <v>18.399999999999999</v>
      </c>
      <c r="AA18">
        <v>17</v>
      </c>
      <c r="AB18">
        <v>28.5</v>
      </c>
      <c r="AC18">
        <v>27.1</v>
      </c>
      <c r="AD18">
        <v>27</v>
      </c>
      <c r="AE18">
        <v>19.600000000000001</v>
      </c>
      <c r="AF18">
        <v>13.5</v>
      </c>
      <c r="AG18">
        <v>22.9</v>
      </c>
      <c r="AH18">
        <v>22.85</v>
      </c>
      <c r="AI18">
        <v>29.9</v>
      </c>
      <c r="AJ18">
        <v>23</v>
      </c>
      <c r="AK18">
        <v>28</v>
      </c>
      <c r="AL18">
        <v>14</v>
      </c>
      <c r="AM18">
        <v>24</v>
      </c>
      <c r="AN18">
        <v>38.1</v>
      </c>
      <c r="AO18">
        <v>30</v>
      </c>
      <c r="AP18">
        <v>16</v>
      </c>
      <c r="AQ18">
        <v>22</v>
      </c>
      <c r="AR18">
        <v>17</v>
      </c>
      <c r="AS18">
        <v>20</v>
      </c>
      <c r="AT18">
        <v>24.5</v>
      </c>
      <c r="AU18">
        <v>26</v>
      </c>
      <c r="AV18">
        <v>17.5</v>
      </c>
      <c r="AW18">
        <v>36</v>
      </c>
      <c r="AX18">
        <v>32</v>
      </c>
      <c r="AY18">
        <v>30.9</v>
      </c>
      <c r="AZ18">
        <v>14</v>
      </c>
    </row>
    <row r="19" spans="1:52" x14ac:dyDescent="0.2">
      <c r="A19" s="4">
        <v>2006</v>
      </c>
      <c r="B19">
        <v>19</v>
      </c>
      <c r="C19">
        <v>8</v>
      </c>
      <c r="D19">
        <v>26</v>
      </c>
      <c r="E19">
        <v>22.5</v>
      </c>
      <c r="F19">
        <v>18</v>
      </c>
      <c r="G19">
        <v>20.5</v>
      </c>
      <c r="H19">
        <v>26</v>
      </c>
      <c r="I19">
        <v>22</v>
      </c>
      <c r="J19">
        <v>20</v>
      </c>
      <c r="K19">
        <v>27.9</v>
      </c>
      <c r="L19">
        <v>7.5</v>
      </c>
      <c r="M19">
        <v>16</v>
      </c>
      <c r="N19">
        <v>25</v>
      </c>
      <c r="O19">
        <v>21.5</v>
      </c>
      <c r="P19">
        <v>16</v>
      </c>
      <c r="Q19">
        <v>22.5</v>
      </c>
      <c r="R19">
        <v>26</v>
      </c>
      <c r="S19">
        <v>16.7</v>
      </c>
      <c r="T19">
        <v>20</v>
      </c>
      <c r="U19">
        <v>27.9</v>
      </c>
      <c r="V19">
        <v>24.25</v>
      </c>
      <c r="W19">
        <v>21</v>
      </c>
      <c r="X19">
        <v>15</v>
      </c>
      <c r="Y19">
        <v>20</v>
      </c>
      <c r="Z19">
        <v>18.399999999999999</v>
      </c>
      <c r="AA19">
        <v>17</v>
      </c>
      <c r="AB19">
        <v>28.5</v>
      </c>
      <c r="AC19">
        <v>27.1</v>
      </c>
      <c r="AD19">
        <v>27</v>
      </c>
      <c r="AE19">
        <v>19.600000000000001</v>
      </c>
      <c r="AF19">
        <v>13.5</v>
      </c>
      <c r="AG19">
        <v>22.875</v>
      </c>
      <c r="AH19">
        <v>22.15</v>
      </c>
      <c r="AI19">
        <v>29.9</v>
      </c>
      <c r="AJ19">
        <v>23</v>
      </c>
      <c r="AK19">
        <v>28</v>
      </c>
      <c r="AL19">
        <v>14</v>
      </c>
      <c r="AM19">
        <v>24</v>
      </c>
      <c r="AN19">
        <v>38.1</v>
      </c>
      <c r="AO19">
        <v>30</v>
      </c>
      <c r="AP19">
        <v>16</v>
      </c>
      <c r="AQ19">
        <v>22</v>
      </c>
      <c r="AR19">
        <v>17</v>
      </c>
      <c r="AS19">
        <v>20</v>
      </c>
      <c r="AT19">
        <v>24.5</v>
      </c>
      <c r="AU19">
        <v>19</v>
      </c>
      <c r="AV19">
        <v>16</v>
      </c>
      <c r="AW19">
        <v>34</v>
      </c>
      <c r="AX19">
        <v>27</v>
      </c>
      <c r="AY19">
        <v>29.9</v>
      </c>
      <c r="AZ19">
        <v>14</v>
      </c>
    </row>
    <row r="20" spans="1:52" x14ac:dyDescent="0.2">
      <c r="A20" s="4">
        <v>2005</v>
      </c>
      <c r="B20">
        <v>19</v>
      </c>
      <c r="C20">
        <v>8</v>
      </c>
      <c r="D20">
        <v>26</v>
      </c>
      <c r="E20">
        <v>22.7</v>
      </c>
      <c r="F20">
        <v>18</v>
      </c>
      <c r="G20">
        <v>20.5</v>
      </c>
      <c r="H20">
        <v>26</v>
      </c>
      <c r="I20">
        <v>22</v>
      </c>
      <c r="J20">
        <v>20</v>
      </c>
      <c r="K20">
        <v>27.3</v>
      </c>
      <c r="L20">
        <v>7.5</v>
      </c>
      <c r="M20">
        <v>16</v>
      </c>
      <c r="N20">
        <v>25</v>
      </c>
      <c r="O20">
        <v>21.5</v>
      </c>
      <c r="P20">
        <v>16</v>
      </c>
      <c r="Q20">
        <v>22.5</v>
      </c>
      <c r="R20">
        <v>26</v>
      </c>
      <c r="S20">
        <v>15.5</v>
      </c>
      <c r="T20">
        <v>20</v>
      </c>
      <c r="U20">
        <v>27</v>
      </c>
      <c r="V20">
        <v>24.25</v>
      </c>
      <c r="W20">
        <v>21</v>
      </c>
      <c r="X20">
        <v>15</v>
      </c>
      <c r="Y20">
        <v>20</v>
      </c>
      <c r="Z20">
        <v>18.399999999999999</v>
      </c>
      <c r="AA20">
        <v>17</v>
      </c>
      <c r="AB20">
        <v>28.5</v>
      </c>
      <c r="AC20">
        <v>25.3</v>
      </c>
      <c r="AD20">
        <v>27</v>
      </c>
      <c r="AE20">
        <v>19.5</v>
      </c>
      <c r="AF20">
        <v>13.5</v>
      </c>
      <c r="AG20">
        <v>22.875</v>
      </c>
      <c r="AH20">
        <v>21.45</v>
      </c>
      <c r="AI20">
        <v>26.6</v>
      </c>
      <c r="AJ20">
        <v>23</v>
      </c>
      <c r="AK20">
        <v>28</v>
      </c>
      <c r="AL20">
        <v>14</v>
      </c>
      <c r="AM20">
        <v>24</v>
      </c>
      <c r="AN20">
        <v>36.4</v>
      </c>
      <c r="AO20">
        <v>30</v>
      </c>
      <c r="AP20">
        <v>16</v>
      </c>
      <c r="AQ20">
        <v>22</v>
      </c>
      <c r="AR20">
        <v>17</v>
      </c>
      <c r="AS20">
        <v>20</v>
      </c>
      <c r="AT20">
        <v>24.5</v>
      </c>
      <c r="AU20">
        <v>19</v>
      </c>
      <c r="AV20">
        <v>16</v>
      </c>
      <c r="AW20">
        <v>31</v>
      </c>
      <c r="AX20">
        <v>27</v>
      </c>
      <c r="AY20">
        <v>29.1</v>
      </c>
      <c r="AZ20">
        <v>14</v>
      </c>
    </row>
    <row r="21" spans="1:52" x14ac:dyDescent="0.2">
      <c r="A21" s="4">
        <v>2004</v>
      </c>
      <c r="B21">
        <v>19</v>
      </c>
      <c r="C21">
        <v>8</v>
      </c>
      <c r="D21">
        <v>26</v>
      </c>
      <c r="E21">
        <v>22.7</v>
      </c>
      <c r="F21">
        <v>18</v>
      </c>
      <c r="G21">
        <v>20.5</v>
      </c>
      <c r="H21">
        <v>26</v>
      </c>
      <c r="I21">
        <v>22</v>
      </c>
      <c r="J21">
        <v>20</v>
      </c>
      <c r="K21">
        <v>27</v>
      </c>
      <c r="L21">
        <v>7.5</v>
      </c>
      <c r="M21">
        <v>16</v>
      </c>
      <c r="N21">
        <v>25</v>
      </c>
      <c r="O21">
        <v>21.5</v>
      </c>
      <c r="P21">
        <v>16</v>
      </c>
      <c r="Q21">
        <v>22.5</v>
      </c>
      <c r="R21">
        <v>26</v>
      </c>
      <c r="S21">
        <v>13.4</v>
      </c>
      <c r="T21">
        <v>20</v>
      </c>
      <c r="U21">
        <v>26.8</v>
      </c>
      <c r="V21">
        <v>24.25</v>
      </c>
      <c r="W21">
        <v>21</v>
      </c>
      <c r="X21">
        <v>15</v>
      </c>
      <c r="Y21">
        <v>20</v>
      </c>
      <c r="Z21">
        <v>18.399999999999999</v>
      </c>
      <c r="AA21">
        <v>17</v>
      </c>
      <c r="AB21">
        <v>28.5</v>
      </c>
      <c r="AC21">
        <v>24.6</v>
      </c>
      <c r="AD21">
        <v>27</v>
      </c>
      <c r="AE21">
        <v>19.5</v>
      </c>
      <c r="AF21">
        <v>13.5</v>
      </c>
      <c r="AG21">
        <v>22.875</v>
      </c>
      <c r="AH21">
        <v>20.85</v>
      </c>
      <c r="AI21">
        <v>24.3</v>
      </c>
      <c r="AJ21">
        <v>21</v>
      </c>
      <c r="AK21">
        <v>26</v>
      </c>
      <c r="AL21">
        <v>14</v>
      </c>
      <c r="AM21">
        <v>24</v>
      </c>
      <c r="AN21">
        <v>31.2</v>
      </c>
      <c r="AO21">
        <v>30</v>
      </c>
      <c r="AP21">
        <v>16</v>
      </c>
      <c r="AQ21">
        <v>22</v>
      </c>
      <c r="AR21">
        <v>17</v>
      </c>
      <c r="AS21">
        <v>20</v>
      </c>
      <c r="AT21">
        <v>24.5</v>
      </c>
      <c r="AU21">
        <v>19</v>
      </c>
      <c r="AV21">
        <v>16</v>
      </c>
      <c r="AW21">
        <v>28</v>
      </c>
      <c r="AX21">
        <v>25.35</v>
      </c>
      <c r="AY21">
        <v>28.5</v>
      </c>
      <c r="AZ21">
        <v>14</v>
      </c>
    </row>
    <row r="22" spans="1:52" x14ac:dyDescent="0.2">
      <c r="A22" s="4">
        <v>2003</v>
      </c>
      <c r="B22">
        <v>19</v>
      </c>
      <c r="C22">
        <v>8</v>
      </c>
      <c r="D22">
        <v>26</v>
      </c>
      <c r="E22">
        <v>22.7</v>
      </c>
      <c r="F22">
        <v>18</v>
      </c>
      <c r="G22">
        <v>20.5</v>
      </c>
      <c r="H22">
        <v>26</v>
      </c>
      <c r="I22">
        <v>22</v>
      </c>
      <c r="J22">
        <v>20</v>
      </c>
      <c r="K22">
        <v>26.7</v>
      </c>
      <c r="L22">
        <v>7.5</v>
      </c>
      <c r="M22">
        <v>16</v>
      </c>
      <c r="N22">
        <v>25</v>
      </c>
      <c r="O22">
        <v>21.5</v>
      </c>
      <c r="P22">
        <v>16</v>
      </c>
      <c r="Q22">
        <v>22.5</v>
      </c>
      <c r="R22">
        <v>25</v>
      </c>
      <c r="S22">
        <v>13.4</v>
      </c>
      <c r="T22">
        <v>20</v>
      </c>
      <c r="U22">
        <v>23</v>
      </c>
      <c r="V22">
        <v>24.25</v>
      </c>
      <c r="W22">
        <v>21</v>
      </c>
      <c r="X22">
        <v>15</v>
      </c>
      <c r="Y22">
        <v>20</v>
      </c>
      <c r="Z22">
        <v>18.399999999999999</v>
      </c>
      <c r="AA22">
        <v>17</v>
      </c>
      <c r="AB22">
        <v>28.5</v>
      </c>
      <c r="AC22">
        <v>24.5</v>
      </c>
      <c r="AD22">
        <v>27</v>
      </c>
      <c r="AE22">
        <v>19.5</v>
      </c>
      <c r="AF22">
        <v>13.5</v>
      </c>
      <c r="AG22">
        <v>19.899999999999999</v>
      </c>
      <c r="AH22">
        <v>20.25</v>
      </c>
      <c r="AI22">
        <v>23.4</v>
      </c>
      <c r="AJ22">
        <v>21</v>
      </c>
      <c r="AK22">
        <v>24</v>
      </c>
      <c r="AL22">
        <v>13</v>
      </c>
      <c r="AM22">
        <v>24</v>
      </c>
      <c r="AN22">
        <v>30.8</v>
      </c>
      <c r="AO22">
        <v>29</v>
      </c>
      <c r="AP22">
        <v>16</v>
      </c>
      <c r="AQ22">
        <v>22</v>
      </c>
      <c r="AR22">
        <v>17</v>
      </c>
      <c r="AS22">
        <v>20</v>
      </c>
      <c r="AT22">
        <v>24.5</v>
      </c>
      <c r="AU22">
        <v>19</v>
      </c>
      <c r="AV22">
        <v>16</v>
      </c>
      <c r="AW22">
        <v>23</v>
      </c>
      <c r="AX22">
        <v>25</v>
      </c>
      <c r="AY22">
        <v>28.1</v>
      </c>
      <c r="AZ22">
        <v>14</v>
      </c>
    </row>
    <row r="23" spans="1:52" s="7" customFormat="1" x14ac:dyDescent="0.2">
      <c r="A23" s="4">
        <v>2002</v>
      </c>
      <c r="B23">
        <v>19</v>
      </c>
      <c r="C23">
        <v>8</v>
      </c>
      <c r="D23">
        <v>26</v>
      </c>
      <c r="E23">
        <v>22.7</v>
      </c>
      <c r="F23">
        <v>18</v>
      </c>
      <c r="G23">
        <v>20.5</v>
      </c>
      <c r="H23">
        <v>26</v>
      </c>
      <c r="I23">
        <v>22</v>
      </c>
      <c r="J23">
        <v>20</v>
      </c>
      <c r="K23">
        <v>26.4</v>
      </c>
      <c r="L23">
        <v>7.5</v>
      </c>
      <c r="M23">
        <v>16</v>
      </c>
      <c r="N23">
        <v>25</v>
      </c>
      <c r="O23">
        <v>21.5</v>
      </c>
      <c r="P23">
        <v>16</v>
      </c>
      <c r="Q23">
        <v>22.5</v>
      </c>
      <c r="R23">
        <v>25</v>
      </c>
      <c r="S23">
        <v>13.4</v>
      </c>
      <c r="T23">
        <v>20</v>
      </c>
      <c r="U23">
        <v>23</v>
      </c>
      <c r="V23">
        <v>24.25</v>
      </c>
      <c r="W23">
        <v>21</v>
      </c>
      <c r="X23">
        <v>15</v>
      </c>
      <c r="Y23">
        <v>20</v>
      </c>
      <c r="Z23">
        <v>18.399999999999999</v>
      </c>
      <c r="AA23">
        <v>17</v>
      </c>
      <c r="AB23">
        <v>27.75</v>
      </c>
      <c r="AC23">
        <v>24.5</v>
      </c>
      <c r="AD23">
        <v>27.7</v>
      </c>
      <c r="AE23">
        <v>19.5</v>
      </c>
      <c r="AF23">
        <v>13.5</v>
      </c>
      <c r="AG23">
        <v>19.5</v>
      </c>
      <c r="AH23">
        <v>20.85</v>
      </c>
      <c r="AI23">
        <v>22.1</v>
      </c>
      <c r="AJ23">
        <v>21</v>
      </c>
      <c r="AK23">
        <v>22</v>
      </c>
      <c r="AL23">
        <v>14</v>
      </c>
      <c r="AM23">
        <v>24</v>
      </c>
      <c r="AN23">
        <v>31.8</v>
      </c>
      <c r="AO23">
        <v>30</v>
      </c>
      <c r="AP23">
        <v>16</v>
      </c>
      <c r="AQ23">
        <v>22</v>
      </c>
      <c r="AR23">
        <v>17</v>
      </c>
      <c r="AS23">
        <v>20</v>
      </c>
      <c r="AT23">
        <v>24.5</v>
      </c>
      <c r="AU23">
        <v>26</v>
      </c>
      <c r="AV23">
        <v>16</v>
      </c>
      <c r="AW23">
        <v>23</v>
      </c>
      <c r="AX23">
        <v>25.35</v>
      </c>
      <c r="AY23">
        <v>28.1</v>
      </c>
      <c r="AZ23">
        <v>14</v>
      </c>
    </row>
    <row r="24" spans="1:52" s="7" customFormat="1" x14ac:dyDescent="0.2">
      <c r="A24" s="4">
        <v>2001</v>
      </c>
      <c r="B24">
        <v>19</v>
      </c>
      <c r="C24">
        <v>8</v>
      </c>
      <c r="D24">
        <v>26</v>
      </c>
      <c r="E24">
        <v>22.7</v>
      </c>
      <c r="F24">
        <v>18</v>
      </c>
      <c r="G24">
        <v>20.5</v>
      </c>
      <c r="H24">
        <v>18</v>
      </c>
      <c r="I24">
        <v>22</v>
      </c>
      <c r="J24">
        <v>20</v>
      </c>
      <c r="K24">
        <v>25.9</v>
      </c>
      <c r="L24">
        <v>7.5</v>
      </c>
      <c r="M24">
        <v>16</v>
      </c>
      <c r="N24">
        <v>25</v>
      </c>
      <c r="O24">
        <v>21.5</v>
      </c>
      <c r="P24">
        <v>16</v>
      </c>
      <c r="Q24">
        <v>22.5</v>
      </c>
      <c r="R24">
        <v>23</v>
      </c>
      <c r="S24">
        <v>13.4</v>
      </c>
      <c r="T24">
        <v>20</v>
      </c>
      <c r="U24">
        <v>23</v>
      </c>
      <c r="V24">
        <v>24.25</v>
      </c>
      <c r="W24">
        <v>21</v>
      </c>
      <c r="X24">
        <v>15</v>
      </c>
      <c r="Y24">
        <v>20</v>
      </c>
      <c r="Z24">
        <v>18.399999999999999</v>
      </c>
      <c r="AA24">
        <v>17</v>
      </c>
      <c r="AB24">
        <v>27.75</v>
      </c>
      <c r="AC24">
        <v>24.5</v>
      </c>
      <c r="AD24">
        <v>27.75</v>
      </c>
      <c r="AE24">
        <v>19.5</v>
      </c>
      <c r="AF24">
        <v>13.5</v>
      </c>
      <c r="AG24">
        <v>19.5</v>
      </c>
      <c r="AH24">
        <v>20.25</v>
      </c>
      <c r="AI24">
        <v>24.1</v>
      </c>
      <c r="AJ24">
        <v>21</v>
      </c>
      <c r="AK24">
        <v>22</v>
      </c>
      <c r="AL24">
        <v>14</v>
      </c>
      <c r="AM24">
        <v>24</v>
      </c>
      <c r="AN24">
        <v>30.9</v>
      </c>
      <c r="AO24">
        <v>29</v>
      </c>
      <c r="AP24">
        <v>16</v>
      </c>
      <c r="AQ24">
        <v>22</v>
      </c>
      <c r="AR24">
        <v>17</v>
      </c>
      <c r="AS24">
        <v>20</v>
      </c>
      <c r="AT24">
        <v>24.5</v>
      </c>
      <c r="AU24">
        <v>26</v>
      </c>
      <c r="AV24">
        <v>16</v>
      </c>
      <c r="AW24">
        <v>23</v>
      </c>
      <c r="AX24">
        <v>25.65</v>
      </c>
      <c r="AY24">
        <v>27.3</v>
      </c>
      <c r="AZ24">
        <v>14</v>
      </c>
    </row>
    <row r="25" spans="1:52" s="7" customFormat="1" x14ac:dyDescent="0.2">
      <c r="A25" s="4">
        <v>2000</v>
      </c>
      <c r="B25">
        <v>19</v>
      </c>
      <c r="C25">
        <v>8</v>
      </c>
      <c r="D25">
        <v>27</v>
      </c>
      <c r="E25">
        <v>20.5</v>
      </c>
      <c r="F25">
        <v>18</v>
      </c>
      <c r="G25">
        <v>20.5</v>
      </c>
      <c r="H25">
        <v>18</v>
      </c>
      <c r="I25">
        <v>22</v>
      </c>
      <c r="J25">
        <v>20</v>
      </c>
      <c r="K25">
        <v>25.1</v>
      </c>
      <c r="L25">
        <v>7.5</v>
      </c>
      <c r="M25">
        <v>16</v>
      </c>
      <c r="N25">
        <v>25</v>
      </c>
      <c r="O25">
        <v>21.5</v>
      </c>
      <c r="P25">
        <v>16</v>
      </c>
      <c r="Q25">
        <v>22.5</v>
      </c>
      <c r="R25">
        <v>22</v>
      </c>
      <c r="S25">
        <v>13.4</v>
      </c>
      <c r="T25">
        <v>20</v>
      </c>
      <c r="U25">
        <v>20</v>
      </c>
      <c r="V25">
        <v>24.25</v>
      </c>
      <c r="W25">
        <v>21</v>
      </c>
      <c r="X25">
        <v>15</v>
      </c>
      <c r="Y25">
        <v>20</v>
      </c>
      <c r="Z25">
        <v>18.399999999999999</v>
      </c>
      <c r="AA25">
        <v>17</v>
      </c>
      <c r="AB25">
        <v>27.75</v>
      </c>
      <c r="AC25">
        <v>22.8</v>
      </c>
      <c r="AD25">
        <v>27.75</v>
      </c>
      <c r="AE25">
        <v>19.5</v>
      </c>
      <c r="AF25">
        <v>13.5</v>
      </c>
      <c r="AG25">
        <v>19.5</v>
      </c>
      <c r="AH25">
        <v>27.95</v>
      </c>
      <c r="AI25">
        <v>21.2</v>
      </c>
      <c r="AJ25">
        <v>21</v>
      </c>
      <c r="AK25">
        <v>22</v>
      </c>
      <c r="AL25">
        <v>14</v>
      </c>
      <c r="AM25">
        <v>24</v>
      </c>
      <c r="AN25">
        <v>30.8</v>
      </c>
      <c r="AO25">
        <v>29</v>
      </c>
      <c r="AP25">
        <v>16</v>
      </c>
      <c r="AQ25">
        <v>22</v>
      </c>
      <c r="AR25">
        <v>17</v>
      </c>
      <c r="AS25">
        <v>20</v>
      </c>
      <c r="AT25">
        <v>24.5</v>
      </c>
      <c r="AU25">
        <v>17</v>
      </c>
      <c r="AV25">
        <v>16</v>
      </c>
      <c r="AW25">
        <v>23</v>
      </c>
      <c r="AX25">
        <v>25.35</v>
      </c>
      <c r="AY25">
        <v>25.4</v>
      </c>
      <c r="AZ25">
        <v>14</v>
      </c>
    </row>
  </sheetData>
  <sortState xmlns:xlrd2="http://schemas.microsoft.com/office/spreadsheetml/2017/richdata2" ref="A2:AZ25">
    <sortCondition descending="1" ref="A1:A2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cost</vt:lpstr>
      <vt:lpstr>total cost_fill missing data</vt:lpstr>
      <vt:lpstr>eletricity price</vt:lpstr>
      <vt:lpstr>diesel price</vt:lpstr>
      <vt:lpstr>diesel 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2025-05-22T17:56:34Z</dcterms:created>
  <dcterms:modified xsi:type="dcterms:W3CDTF">2025-05-24T03:31:52Z</dcterms:modified>
</cp:coreProperties>
</file>