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cenv1240_ox_ac_uk/Documents/Work_OX/23Oct-Cotton/external folder/check list revision/cotton_github/results/"/>
    </mc:Choice>
  </mc:AlternateContent>
  <xr:revisionPtr revIDLastSave="1" documentId="13_ncr:1_{C9611994-D119-1442-B4D5-A39BC0FEA05A}" xr6:coauthVersionLast="47" xr6:coauthVersionMax="47" xr10:uidLastSave="{D94F93AB-680E-A64E-88FA-E5C864C08130}"/>
  <bookViews>
    <workbookView xWindow="0" yWindow="660" windowWidth="30240" windowHeight="17880" activeTab="1" xr2:uid="{00000000-000D-0000-FFFF-FFFF00000000}"/>
  </bookViews>
  <sheets>
    <sheet name="Input_Data" sheetId="1" r:id="rId1"/>
    <sheet name="Input_Data_Electrified" sheetId="2" r:id="rId2"/>
    <sheet name="Impact_Factors" sheetId="3" r:id="rId3"/>
    <sheet name="State_Electricity_Factors" sheetId="4" r:id="rId4"/>
    <sheet name="Scenario_Definitions" sheetId="5" r:id="rId5"/>
    <sheet name="Results_GHG_Breakdown" sheetId="6" r:id="rId6"/>
    <sheet name="Results_Energy_Breakdown" sheetId="7" r:id="rId7"/>
    <sheet name="Results_Water_Breakdow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73VkxLK4sZgKPMTUFifxvRH4SijgbxX/rb4vzZqBAEk="/>
    </ext>
  </extLst>
</workbook>
</file>

<file path=xl/calcChain.xml><?xml version="1.0" encoding="utf-8"?>
<calcChain xmlns="http://schemas.openxmlformats.org/spreadsheetml/2006/main">
  <c r="A2" i="2" l="1"/>
  <c r="B2" i="2"/>
  <c r="C2" i="2"/>
  <c r="D2" i="2"/>
  <c r="E2" i="2"/>
  <c r="F2" i="2"/>
  <c r="B22" i="7" s="1" a="1"/>
  <c r="B22" i="7" s="1"/>
  <c r="G2" i="2"/>
  <c r="H2" i="2"/>
  <c r="B22" i="8" s="1" a="1"/>
  <c r="I2" i="2"/>
  <c r="J2" i="2"/>
  <c r="L2" i="2"/>
  <c r="M2" i="2"/>
  <c r="N2" i="2"/>
  <c r="O2" i="2"/>
  <c r="P2" i="2"/>
  <c r="Q2" i="2"/>
  <c r="R2" i="2"/>
  <c r="S2" i="2"/>
  <c r="A3" i="2"/>
  <c r="B3" i="2"/>
  <c r="C3" i="2"/>
  <c r="B23" i="8" s="1" a="1"/>
  <c r="F23" i="8" s="1"/>
  <c r="D3" i="2"/>
  <c r="E3" i="2"/>
  <c r="F3" i="2"/>
  <c r="G3" i="2"/>
  <c r="H3" i="2"/>
  <c r="I3" i="2"/>
  <c r="J3" i="2"/>
  <c r="L3" i="2"/>
  <c r="M3" i="2"/>
  <c r="N3" i="2"/>
  <c r="O3" i="2"/>
  <c r="P3" i="2"/>
  <c r="L23" i="8" s="1"/>
  <c r="Q3" i="2"/>
  <c r="M23" i="7" s="1"/>
  <c r="R3" i="2"/>
  <c r="N23" i="6" s="1"/>
  <c r="S3" i="2"/>
  <c r="O23" i="8" s="1"/>
  <c r="A4" i="2"/>
  <c r="B4" i="2"/>
  <c r="B24" i="8" s="1" a="1"/>
  <c r="B24" i="8" s="1"/>
  <c r="C4" i="2"/>
  <c r="D4" i="2"/>
  <c r="E4" i="2"/>
  <c r="F4" i="2"/>
  <c r="G4" i="2"/>
  <c r="H4" i="2"/>
  <c r="I4" i="2"/>
  <c r="J4" i="2"/>
  <c r="L4" i="2"/>
  <c r="M4" i="2"/>
  <c r="N4" i="2"/>
  <c r="O4" i="2"/>
  <c r="P4" i="2"/>
  <c r="L24" i="7" s="1"/>
  <c r="Q4" i="2"/>
  <c r="M24" i="8" s="1"/>
  <c r="R4" i="2"/>
  <c r="S4" i="2"/>
  <c r="O24" i="8" s="1"/>
  <c r="A5" i="2"/>
  <c r="B5" i="2"/>
  <c r="C5" i="2"/>
  <c r="D5" i="2"/>
  <c r="E5" i="2"/>
  <c r="F5" i="2"/>
  <c r="G5" i="2"/>
  <c r="H5" i="2"/>
  <c r="I5" i="2"/>
  <c r="B25" i="8" s="1" a="1"/>
  <c r="B25" i="8" s="1"/>
  <c r="J5" i="2"/>
  <c r="L5" i="2"/>
  <c r="M5" i="2"/>
  <c r="N5" i="2"/>
  <c r="O5" i="2"/>
  <c r="P5" i="2"/>
  <c r="Q5" i="2"/>
  <c r="R5" i="2"/>
  <c r="S5" i="2"/>
  <c r="A6" i="2"/>
  <c r="B6" i="2"/>
  <c r="C6" i="2"/>
  <c r="D6" i="2"/>
  <c r="E6" i="2"/>
  <c r="F6" i="2"/>
  <c r="G6" i="2"/>
  <c r="B26" i="8" s="1" a="1"/>
  <c r="C26" i="8" s="1"/>
  <c r="H6" i="2"/>
  <c r="I6" i="2"/>
  <c r="J6" i="2"/>
  <c r="K6" i="2"/>
  <c r="K26" i="7" s="1"/>
  <c r="L6" i="2"/>
  <c r="M6" i="2"/>
  <c r="N6" i="2"/>
  <c r="O6" i="2"/>
  <c r="P6" i="2"/>
  <c r="Q6" i="2"/>
  <c r="R6" i="2"/>
  <c r="S6" i="2"/>
  <c r="O26" i="8" s="1"/>
  <c r="A7" i="2"/>
  <c r="B7" i="2"/>
  <c r="B27" i="7" s="1" a="1"/>
  <c r="F27" i="7" s="1"/>
  <c r="C7" i="2"/>
  <c r="D7" i="2"/>
  <c r="E7" i="2"/>
  <c r="F7" i="2"/>
  <c r="G7" i="2"/>
  <c r="H7" i="2"/>
  <c r="I7" i="2"/>
  <c r="J7" i="2"/>
  <c r="L7" i="2"/>
  <c r="M7" i="2"/>
  <c r="N7" i="2"/>
  <c r="O7" i="2"/>
  <c r="P7" i="2"/>
  <c r="L27" i="7" s="1"/>
  <c r="Q7" i="2"/>
  <c r="M27" i="6" s="1"/>
  <c r="R7" i="2"/>
  <c r="N27" i="8" s="1"/>
  <c r="S7" i="2"/>
  <c r="O27" i="7" s="1"/>
  <c r="A8" i="2"/>
  <c r="B8" i="2"/>
  <c r="B28" i="7" s="1" a="1"/>
  <c r="C8" i="2"/>
  <c r="D8" i="2"/>
  <c r="E8" i="2"/>
  <c r="F8" i="2"/>
  <c r="G8" i="2"/>
  <c r="H8" i="2"/>
  <c r="I8" i="2"/>
  <c r="J8" i="2"/>
  <c r="L8" i="2"/>
  <c r="M8" i="2"/>
  <c r="N8" i="2"/>
  <c r="O8" i="2"/>
  <c r="P8" i="2"/>
  <c r="L28" i="8" s="1"/>
  <c r="Q8" i="2"/>
  <c r="R8" i="2"/>
  <c r="N28" i="8" s="1"/>
  <c r="S8" i="2"/>
  <c r="A9" i="2"/>
  <c r="B9" i="2"/>
  <c r="C9" i="2"/>
  <c r="D9" i="2"/>
  <c r="E9" i="2"/>
  <c r="F9" i="2"/>
  <c r="G9" i="2"/>
  <c r="H9" i="2"/>
  <c r="I9" i="2"/>
  <c r="B29" i="8" s="1" a="1"/>
  <c r="J29" i="8" s="1"/>
  <c r="J9" i="2"/>
  <c r="K9" i="2"/>
  <c r="K29" i="8" s="1"/>
  <c r="L9" i="2"/>
  <c r="M9" i="2"/>
  <c r="N9" i="2"/>
  <c r="O9" i="2"/>
  <c r="P9" i="2"/>
  <c r="Q9" i="2"/>
  <c r="R9" i="2"/>
  <c r="S9" i="2"/>
  <c r="A10" i="2"/>
  <c r="B10" i="2"/>
  <c r="C10" i="2"/>
  <c r="D10" i="2"/>
  <c r="B30" i="8" s="1" a="1"/>
  <c r="I30" i="8" s="1"/>
  <c r="E10" i="2"/>
  <c r="B30" i="7" s="1" a="1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N30" i="8" s="1"/>
  <c r="S10" i="2"/>
  <c r="O30" i="7" s="1"/>
  <c r="A11" i="2"/>
  <c r="B11" i="2"/>
  <c r="B31" i="8" s="1" a="1"/>
  <c r="C11" i="2"/>
  <c r="D11" i="2"/>
  <c r="E11" i="2"/>
  <c r="F11" i="2"/>
  <c r="G11" i="2"/>
  <c r="H11" i="2"/>
  <c r="I11" i="2"/>
  <c r="J11" i="2"/>
  <c r="L11" i="2"/>
  <c r="M11" i="2"/>
  <c r="N11" i="2"/>
  <c r="O11" i="2"/>
  <c r="P11" i="2"/>
  <c r="L31" i="6" s="1"/>
  <c r="Q11" i="2"/>
  <c r="M31" i="8" s="1"/>
  <c r="R11" i="2"/>
  <c r="N31" i="7" s="1"/>
  <c r="S11" i="2"/>
  <c r="O31" i="8" s="1"/>
  <c r="A12" i="2"/>
  <c r="B12" i="2"/>
  <c r="B32" i="8" s="1" a="1"/>
  <c r="C32" i="8" s="1"/>
  <c r="C12" i="2"/>
  <c r="D12" i="2"/>
  <c r="E12" i="2"/>
  <c r="F12" i="2"/>
  <c r="G12" i="2"/>
  <c r="H12" i="2"/>
  <c r="I12" i="2"/>
  <c r="J12" i="2"/>
  <c r="L12" i="2"/>
  <c r="M12" i="2"/>
  <c r="N12" i="2"/>
  <c r="O12" i="2"/>
  <c r="P12" i="2"/>
  <c r="Q12" i="2"/>
  <c r="M32" i="8" s="1"/>
  <c r="R12" i="2"/>
  <c r="S12" i="2"/>
  <c r="A13" i="2"/>
  <c r="B13" i="2"/>
  <c r="C13" i="2"/>
  <c r="D13" i="2"/>
  <c r="E13" i="2"/>
  <c r="F13" i="2"/>
  <c r="G13" i="2"/>
  <c r="H13" i="2"/>
  <c r="I13" i="2"/>
  <c r="J13" i="2"/>
  <c r="K13" i="2"/>
  <c r="K33" i="6" s="1"/>
  <c r="L13" i="2"/>
  <c r="M13" i="2"/>
  <c r="N13" i="2"/>
  <c r="O13" i="2"/>
  <c r="P13" i="2"/>
  <c r="Q13" i="2"/>
  <c r="R13" i="2"/>
  <c r="S13" i="2"/>
  <c r="A14" i="2"/>
  <c r="B14" i="2"/>
  <c r="C14" i="2"/>
  <c r="D14" i="2"/>
  <c r="E14" i="2"/>
  <c r="F14" i="2"/>
  <c r="G14" i="2"/>
  <c r="H14" i="2"/>
  <c r="I14" i="2"/>
  <c r="J14" i="2"/>
  <c r="L14" i="2"/>
  <c r="M14" i="2"/>
  <c r="N14" i="2"/>
  <c r="O14" i="2"/>
  <c r="P14" i="2"/>
  <c r="Q14" i="2"/>
  <c r="M34" i="8" s="1"/>
  <c r="R14" i="2"/>
  <c r="N34" i="7" s="1"/>
  <c r="S14" i="2"/>
  <c r="O34" i="6" s="1"/>
  <c r="A15" i="2"/>
  <c r="B15" i="2"/>
  <c r="B35" i="7" s="1" a="1"/>
  <c r="C15" i="2"/>
  <c r="B35" i="8" s="1" a="1"/>
  <c r="B35" i="8" s="1"/>
  <c r="D15" i="2"/>
  <c r="E15" i="2"/>
  <c r="F15" i="2"/>
  <c r="G15" i="2"/>
  <c r="H15" i="2"/>
  <c r="I15" i="2"/>
  <c r="J15" i="2"/>
  <c r="L15" i="2"/>
  <c r="M15" i="2"/>
  <c r="N15" i="2"/>
  <c r="O15" i="2"/>
  <c r="P15" i="2"/>
  <c r="L35" i="8" s="1"/>
  <c r="Q15" i="2"/>
  <c r="M35" i="7" s="1"/>
  <c r="R15" i="2"/>
  <c r="N35" i="8" s="1"/>
  <c r="S15" i="2"/>
  <c r="A16" i="2"/>
  <c r="B16" i="2"/>
  <c r="C16" i="2"/>
  <c r="D16" i="2"/>
  <c r="E16" i="2"/>
  <c r="F16" i="2"/>
  <c r="G16" i="2"/>
  <c r="H16" i="2"/>
  <c r="I16" i="2"/>
  <c r="J16" i="2"/>
  <c r="B36" i="7" s="1" a="1"/>
  <c r="L16" i="2"/>
  <c r="M16" i="2"/>
  <c r="N16" i="2"/>
  <c r="O16" i="2"/>
  <c r="P16" i="2"/>
  <c r="L36" i="8" s="1"/>
  <c r="Q16" i="2"/>
  <c r="R16" i="2"/>
  <c r="S16" i="2"/>
  <c r="A17" i="2"/>
  <c r="B17" i="2"/>
  <c r="C17" i="2"/>
  <c r="D17" i="2"/>
  <c r="E17" i="2"/>
  <c r="F17" i="2"/>
  <c r="B37" i="8" s="1" a="1"/>
  <c r="B37" i="8" s="1"/>
  <c r="G17" i="2"/>
  <c r="H17" i="2"/>
  <c r="I17" i="2"/>
  <c r="J17" i="2"/>
  <c r="L17" i="2"/>
  <c r="M17" i="2"/>
  <c r="N17" i="2"/>
  <c r="O17" i="2"/>
  <c r="P17" i="2"/>
  <c r="Q17" i="2"/>
  <c r="R17" i="2"/>
  <c r="S17" i="2"/>
  <c r="A18" i="2"/>
  <c r="B18" i="2"/>
  <c r="B38" i="8" s="1" a="1"/>
  <c r="B38" i="8" s="1"/>
  <c r="C18" i="2"/>
  <c r="D18" i="2"/>
  <c r="E18" i="2"/>
  <c r="F18" i="2"/>
  <c r="G18" i="2"/>
  <c r="H18" i="2"/>
  <c r="I18" i="2"/>
  <c r="J18" i="2"/>
  <c r="L18" i="2"/>
  <c r="M18" i="2"/>
  <c r="N18" i="2"/>
  <c r="O18" i="2"/>
  <c r="P18" i="2"/>
  <c r="L38" i="8" s="1"/>
  <c r="Q18" i="2"/>
  <c r="M38" i="7" s="1"/>
  <c r="R18" i="2"/>
  <c r="N38" i="6" s="1"/>
  <c r="S18" i="2"/>
  <c r="O38" i="8" s="1"/>
  <c r="K2" i="1"/>
  <c r="K2" i="6" s="1"/>
  <c r="K3" i="1"/>
  <c r="K3" i="6" s="1"/>
  <c r="K4" i="1"/>
  <c r="K4" i="2" s="1"/>
  <c r="K5" i="1"/>
  <c r="K5" i="6" s="1"/>
  <c r="K6" i="1"/>
  <c r="K7" i="1"/>
  <c r="K7" i="2" s="1"/>
  <c r="K8" i="1"/>
  <c r="K8" i="2" s="1"/>
  <c r="K9" i="1"/>
  <c r="K10" i="1"/>
  <c r="K11" i="1"/>
  <c r="K11" i="2" s="1"/>
  <c r="K12" i="1"/>
  <c r="K13" i="1"/>
  <c r="K14" i="1"/>
  <c r="K14" i="8" s="1"/>
  <c r="K15" i="1"/>
  <c r="K15" i="8" s="1"/>
  <c r="K16" i="1"/>
  <c r="K16" i="6" s="1"/>
  <c r="K17" i="1"/>
  <c r="K17" i="6" s="1"/>
  <c r="K18" i="1"/>
  <c r="K18" i="6" s="1"/>
  <c r="H2" i="1"/>
  <c r="B2" i="8" s="1" a="1"/>
  <c r="H3" i="1"/>
  <c r="B3" i="7" s="1" a="1"/>
  <c r="H4" i="1"/>
  <c r="B4" i="7" s="1" a="1"/>
  <c r="H5" i="1"/>
  <c r="H6" i="1"/>
  <c r="H7" i="1"/>
  <c r="H8" i="1"/>
  <c r="H9" i="1"/>
  <c r="H10" i="1"/>
  <c r="H11" i="1"/>
  <c r="H12" i="1"/>
  <c r="B12" i="7" s="1" a="1"/>
  <c r="H12" i="7" s="1"/>
  <c r="H13" i="1"/>
  <c r="B13" i="7" s="1" a="1"/>
  <c r="H14" i="1"/>
  <c r="B14" i="8" s="1" a="1"/>
  <c r="J14" i="8" s="1"/>
  <c r="H15" i="1"/>
  <c r="B15" i="8" s="1" a="1"/>
  <c r="B15" i="8" s="1"/>
  <c r="H16" i="1"/>
  <c r="B16" i="7" s="1" a="1"/>
  <c r="H17" i="1"/>
  <c r="K17" i="2" s="1"/>
  <c r="H18" i="1"/>
  <c r="B18" i="7" s="1" a="1"/>
  <c r="O37" i="8"/>
  <c r="N37" i="8"/>
  <c r="M37" i="8"/>
  <c r="L37" i="8"/>
  <c r="O36" i="8"/>
  <c r="N36" i="8"/>
  <c r="M36" i="8"/>
  <c r="O35" i="8"/>
  <c r="M35" i="8"/>
  <c r="L34" i="8"/>
  <c r="O33" i="8"/>
  <c r="N33" i="8"/>
  <c r="M33" i="8"/>
  <c r="L33" i="8"/>
  <c r="O32" i="8"/>
  <c r="N32" i="8"/>
  <c r="L32" i="8"/>
  <c r="N31" i="8"/>
  <c r="M30" i="8"/>
  <c r="L30" i="8"/>
  <c r="O29" i="8"/>
  <c r="N29" i="8"/>
  <c r="M29" i="8"/>
  <c r="L29" i="8"/>
  <c r="O28" i="8"/>
  <c r="M28" i="8"/>
  <c r="O27" i="8"/>
  <c r="N26" i="8"/>
  <c r="M26" i="8"/>
  <c r="L26" i="8"/>
  <c r="O25" i="8"/>
  <c r="N25" i="8"/>
  <c r="M25" i="8"/>
  <c r="L25" i="8"/>
  <c r="N24" i="8"/>
  <c r="L24" i="8"/>
  <c r="O22" i="8"/>
  <c r="N22" i="8"/>
  <c r="M22" i="8"/>
  <c r="L22" i="8"/>
  <c r="O18" i="8"/>
  <c r="N18" i="8"/>
  <c r="M18" i="8"/>
  <c r="L18" i="8"/>
  <c r="O17" i="8"/>
  <c r="N17" i="8"/>
  <c r="M17" i="8"/>
  <c r="L17" i="8"/>
  <c r="O16" i="8"/>
  <c r="N16" i="8"/>
  <c r="M16" i="8"/>
  <c r="L16" i="8"/>
  <c r="O15" i="8"/>
  <c r="N15" i="8"/>
  <c r="M15" i="8"/>
  <c r="L15" i="8"/>
  <c r="O14" i="8"/>
  <c r="N14" i="8"/>
  <c r="M14" i="8"/>
  <c r="L14" i="8"/>
  <c r="O13" i="8"/>
  <c r="N13" i="8"/>
  <c r="M13" i="8"/>
  <c r="L13" i="8"/>
  <c r="O12" i="8"/>
  <c r="N12" i="8"/>
  <c r="M12" i="8"/>
  <c r="L12" i="8"/>
  <c r="O11" i="8"/>
  <c r="N11" i="8"/>
  <c r="M11" i="8"/>
  <c r="L11" i="8"/>
  <c r="O10" i="8"/>
  <c r="N10" i="8"/>
  <c r="M10" i="8"/>
  <c r="L10" i="8"/>
  <c r="O9" i="8"/>
  <c r="N9" i="8"/>
  <c r="M9" i="8"/>
  <c r="L9" i="8"/>
  <c r="O8" i="8"/>
  <c r="N8" i="8"/>
  <c r="M8" i="8"/>
  <c r="L8" i="8"/>
  <c r="O7" i="8"/>
  <c r="N7" i="8"/>
  <c r="M7" i="8"/>
  <c r="L7" i="8"/>
  <c r="O6" i="8"/>
  <c r="N6" i="8"/>
  <c r="M6" i="8"/>
  <c r="L6" i="8"/>
  <c r="O5" i="8"/>
  <c r="N5" i="8"/>
  <c r="M5" i="8"/>
  <c r="L5" i="8"/>
  <c r="O4" i="8"/>
  <c r="N4" i="8"/>
  <c r="M4" i="8"/>
  <c r="L4" i="8"/>
  <c r="O3" i="8"/>
  <c r="N3" i="8"/>
  <c r="M3" i="8"/>
  <c r="L3" i="8"/>
  <c r="O2" i="8"/>
  <c r="N2" i="8"/>
  <c r="M2" i="8"/>
  <c r="L2" i="8"/>
  <c r="L38" i="7"/>
  <c r="O37" i="7"/>
  <c r="N37" i="7"/>
  <c r="M37" i="7"/>
  <c r="L37" i="7"/>
  <c r="O36" i="7"/>
  <c r="N36" i="7"/>
  <c r="M36" i="7"/>
  <c r="L36" i="7"/>
  <c r="O35" i="7"/>
  <c r="N35" i="7"/>
  <c r="M34" i="7"/>
  <c r="L34" i="7"/>
  <c r="O33" i="7"/>
  <c r="N33" i="7"/>
  <c r="M33" i="7"/>
  <c r="L33" i="7"/>
  <c r="O32" i="7"/>
  <c r="N32" i="7"/>
  <c r="M32" i="7"/>
  <c r="L32" i="7"/>
  <c r="O31" i="7"/>
  <c r="N30" i="7"/>
  <c r="M30" i="7"/>
  <c r="L30" i="7"/>
  <c r="O29" i="7"/>
  <c r="N29" i="7"/>
  <c r="M29" i="7"/>
  <c r="L29" i="7"/>
  <c r="O28" i="7"/>
  <c r="N28" i="7"/>
  <c r="M28" i="7"/>
  <c r="L28" i="7"/>
  <c r="O26" i="7"/>
  <c r="N26" i="7"/>
  <c r="M26" i="7"/>
  <c r="L26" i="7"/>
  <c r="O25" i="7"/>
  <c r="N25" i="7"/>
  <c r="M25" i="7"/>
  <c r="L25" i="7"/>
  <c r="O24" i="7"/>
  <c r="N24" i="7"/>
  <c r="M24" i="7"/>
  <c r="L23" i="7"/>
  <c r="O22" i="7"/>
  <c r="N22" i="7"/>
  <c r="M22" i="7"/>
  <c r="L22" i="7"/>
  <c r="O18" i="7"/>
  <c r="N18" i="7"/>
  <c r="M18" i="7"/>
  <c r="L18" i="7"/>
  <c r="O17" i="7"/>
  <c r="N17" i="7"/>
  <c r="M17" i="7"/>
  <c r="L17" i="7"/>
  <c r="O16" i="7"/>
  <c r="N16" i="7"/>
  <c r="M16" i="7"/>
  <c r="L16" i="7"/>
  <c r="O15" i="7"/>
  <c r="N15" i="7"/>
  <c r="M15" i="7"/>
  <c r="L15" i="7"/>
  <c r="O14" i="7"/>
  <c r="N14" i="7"/>
  <c r="M14" i="7"/>
  <c r="L14" i="7"/>
  <c r="O13" i="7"/>
  <c r="N13" i="7"/>
  <c r="M13" i="7"/>
  <c r="L13" i="7"/>
  <c r="O12" i="7"/>
  <c r="N12" i="7"/>
  <c r="M12" i="7"/>
  <c r="L12" i="7"/>
  <c r="O11" i="7"/>
  <c r="N11" i="7"/>
  <c r="M11" i="7"/>
  <c r="L11" i="7"/>
  <c r="O10" i="7"/>
  <c r="N10" i="7"/>
  <c r="M10" i="7"/>
  <c r="L10" i="7"/>
  <c r="O9" i="7"/>
  <c r="N9" i="7"/>
  <c r="M9" i="7"/>
  <c r="L9" i="7"/>
  <c r="O8" i="7"/>
  <c r="N8" i="7"/>
  <c r="M8" i="7"/>
  <c r="L8" i="7"/>
  <c r="O7" i="7"/>
  <c r="N7" i="7"/>
  <c r="M7" i="7"/>
  <c r="L7" i="7"/>
  <c r="O6" i="7"/>
  <c r="N6" i="7"/>
  <c r="M6" i="7"/>
  <c r="L6" i="7"/>
  <c r="O5" i="7"/>
  <c r="N5" i="7"/>
  <c r="M5" i="7"/>
  <c r="L5" i="7"/>
  <c r="O4" i="7"/>
  <c r="N4" i="7"/>
  <c r="M4" i="7"/>
  <c r="L4" i="7"/>
  <c r="O3" i="7"/>
  <c r="N3" i="7"/>
  <c r="M3" i="7"/>
  <c r="L3" i="7"/>
  <c r="O2" i="7"/>
  <c r="N2" i="7"/>
  <c r="M2" i="7"/>
  <c r="L2" i="7"/>
  <c r="L38" i="6"/>
  <c r="O37" i="6"/>
  <c r="N37" i="6"/>
  <c r="M37" i="6"/>
  <c r="L37" i="6"/>
  <c r="O36" i="6"/>
  <c r="N36" i="6"/>
  <c r="M36" i="6"/>
  <c r="L36" i="6"/>
  <c r="O35" i="6"/>
  <c r="M34" i="6"/>
  <c r="L34" i="6"/>
  <c r="O33" i="6"/>
  <c r="N33" i="6"/>
  <c r="M33" i="6"/>
  <c r="L33" i="6"/>
  <c r="O32" i="6"/>
  <c r="N32" i="6"/>
  <c r="M32" i="6"/>
  <c r="L32" i="6"/>
  <c r="N30" i="6"/>
  <c r="M30" i="6"/>
  <c r="L30" i="6"/>
  <c r="O29" i="6"/>
  <c r="N29" i="6"/>
  <c r="M29" i="6"/>
  <c r="L29" i="6"/>
  <c r="O28" i="6"/>
  <c r="N28" i="6"/>
  <c r="M28" i="6"/>
  <c r="O26" i="6"/>
  <c r="N26" i="6"/>
  <c r="M26" i="6"/>
  <c r="L26" i="6"/>
  <c r="O25" i="6"/>
  <c r="N25" i="6"/>
  <c r="M25" i="6"/>
  <c r="L25" i="6"/>
  <c r="O24" i="6"/>
  <c r="N24" i="6"/>
  <c r="L23" i="6"/>
  <c r="O22" i="6"/>
  <c r="N22" i="6"/>
  <c r="M22" i="6"/>
  <c r="L22" i="6"/>
  <c r="O18" i="6"/>
  <c r="N18" i="6"/>
  <c r="M18" i="6"/>
  <c r="L18" i="6"/>
  <c r="O17" i="6"/>
  <c r="N17" i="6"/>
  <c r="M17" i="6"/>
  <c r="L17" i="6"/>
  <c r="O16" i="6"/>
  <c r="N16" i="6"/>
  <c r="M16" i="6"/>
  <c r="L16" i="6"/>
  <c r="O15" i="6"/>
  <c r="N15" i="6"/>
  <c r="M15" i="6"/>
  <c r="L15" i="6"/>
  <c r="O14" i="6"/>
  <c r="N14" i="6"/>
  <c r="M14" i="6"/>
  <c r="L14" i="6"/>
  <c r="O13" i="6"/>
  <c r="N13" i="6"/>
  <c r="M13" i="6"/>
  <c r="L13" i="6"/>
  <c r="O12" i="6"/>
  <c r="N12" i="6"/>
  <c r="M12" i="6"/>
  <c r="L12" i="6"/>
  <c r="O11" i="6"/>
  <c r="N11" i="6"/>
  <c r="M11" i="6"/>
  <c r="L11" i="6"/>
  <c r="O10" i="6"/>
  <c r="N10" i="6"/>
  <c r="M10" i="6"/>
  <c r="L10" i="6"/>
  <c r="O9" i="6"/>
  <c r="N9" i="6"/>
  <c r="M9" i="6"/>
  <c r="L9" i="6"/>
  <c r="O8" i="6"/>
  <c r="N8" i="6"/>
  <c r="M8" i="6"/>
  <c r="L8" i="6"/>
  <c r="O7" i="6"/>
  <c r="N7" i="6"/>
  <c r="M7" i="6"/>
  <c r="L7" i="6"/>
  <c r="O6" i="6"/>
  <c r="N6" i="6"/>
  <c r="M6" i="6"/>
  <c r="L6" i="6"/>
  <c r="O5" i="6"/>
  <c r="N5" i="6"/>
  <c r="M5" i="6"/>
  <c r="L5" i="6"/>
  <c r="O4" i="6"/>
  <c r="N4" i="6"/>
  <c r="M4" i="6"/>
  <c r="L4" i="6"/>
  <c r="O3" i="6"/>
  <c r="N3" i="6"/>
  <c r="M3" i="6"/>
  <c r="L3" i="6"/>
  <c r="O2" i="6"/>
  <c r="N2" i="6"/>
  <c r="M2" i="6"/>
  <c r="L2" i="6"/>
  <c r="B36" i="8" a="1"/>
  <c r="B36" i="8" s="1"/>
  <c r="B34" i="8" a="1"/>
  <c r="C34" i="8" s="1"/>
  <c r="K33" i="8"/>
  <c r="B33" i="8" a="1"/>
  <c r="B33" i="8" s="1"/>
  <c r="K30" i="8"/>
  <c r="B28" i="8" a="1"/>
  <c r="B28" i="8" s="1"/>
  <c r="B27" i="8" a="1"/>
  <c r="B27" i="8" s="1"/>
  <c r="K26" i="8"/>
  <c r="K18" i="8"/>
  <c r="B18" i="8" a="1"/>
  <c r="H18" i="8" s="1"/>
  <c r="B18" i="8"/>
  <c r="K17" i="8"/>
  <c r="B17" i="8" a="1"/>
  <c r="I17" i="8" s="1"/>
  <c r="K13" i="8"/>
  <c r="K12" i="8"/>
  <c r="B12" i="8" a="1"/>
  <c r="B12" i="8" s="1"/>
  <c r="K11" i="8"/>
  <c r="H11" i="8"/>
  <c r="E11" i="8"/>
  <c r="D11" i="8"/>
  <c r="B11" i="8" a="1"/>
  <c r="J11" i="8" s="1"/>
  <c r="K10" i="8"/>
  <c r="B10" i="8" a="1"/>
  <c r="F10" i="8" s="1"/>
  <c r="K9" i="8"/>
  <c r="B9" i="8" a="1"/>
  <c r="J9" i="8" s="1"/>
  <c r="K8" i="8"/>
  <c r="J8" i="8"/>
  <c r="D8" i="8"/>
  <c r="B8" i="8" a="1"/>
  <c r="H8" i="8" s="1"/>
  <c r="B7" i="8" a="1"/>
  <c r="I7" i="8" s="1"/>
  <c r="K6" i="8"/>
  <c r="B6" i="8" a="1"/>
  <c r="J6" i="8" s="1"/>
  <c r="B5" i="8" a="1"/>
  <c r="B5" i="8" s="1"/>
  <c r="K4" i="8"/>
  <c r="B4" i="8" a="1"/>
  <c r="B4" i="8" s="1"/>
  <c r="B3" i="8" a="1"/>
  <c r="C3" i="8" s="1"/>
  <c r="K2" i="8"/>
  <c r="B38" i="7" a="1"/>
  <c r="B38" i="7" s="1"/>
  <c r="B37" i="7" a="1"/>
  <c r="F37" i="7" s="1"/>
  <c r="B34" i="7" a="1"/>
  <c r="I34" i="7" s="1"/>
  <c r="K33" i="7"/>
  <c r="B33" i="7" a="1"/>
  <c r="J33" i="7" s="1"/>
  <c r="B32" i="7" a="1"/>
  <c r="B32" i="7" s="1"/>
  <c r="K30" i="7"/>
  <c r="K29" i="7"/>
  <c r="B29" i="7" a="1"/>
  <c r="B29" i="7" s="1"/>
  <c r="B26" i="7" a="1"/>
  <c r="G26" i="7" s="1"/>
  <c r="B25" i="7" a="1"/>
  <c r="H25" i="7" s="1"/>
  <c r="K17" i="7"/>
  <c r="I17" i="7"/>
  <c r="H17" i="7"/>
  <c r="G17" i="7"/>
  <c r="F17" i="7"/>
  <c r="D17" i="7"/>
  <c r="B17" i="7" a="1"/>
  <c r="C17" i="7" s="1"/>
  <c r="K15" i="7"/>
  <c r="B15" i="7" a="1"/>
  <c r="I15" i="7" s="1"/>
  <c r="K14" i="7"/>
  <c r="B14" i="7" a="1"/>
  <c r="F14" i="7" s="1"/>
  <c r="K13" i="7"/>
  <c r="K12" i="7"/>
  <c r="K11" i="7"/>
  <c r="B11" i="7" a="1"/>
  <c r="I11" i="7" s="1"/>
  <c r="K10" i="7"/>
  <c r="B10" i="7" a="1"/>
  <c r="J10" i="7" s="1"/>
  <c r="K9" i="7"/>
  <c r="B9" i="7" a="1"/>
  <c r="B9" i="7" s="1"/>
  <c r="K8" i="7"/>
  <c r="B8" i="7" a="1"/>
  <c r="B8" i="7" s="1"/>
  <c r="K7" i="7"/>
  <c r="B7" i="7" a="1"/>
  <c r="C7" i="7" s="1"/>
  <c r="K6" i="7"/>
  <c r="J6" i="7"/>
  <c r="I6" i="7"/>
  <c r="B6" i="7" a="1"/>
  <c r="B6" i="7" s="1"/>
  <c r="G5" i="7"/>
  <c r="F5" i="7"/>
  <c r="E5" i="7"/>
  <c r="D5" i="7"/>
  <c r="C5" i="7"/>
  <c r="B5" i="7" a="1"/>
  <c r="J5" i="7" s="1"/>
  <c r="K2" i="7"/>
  <c r="B2" i="7" a="1"/>
  <c r="H2" i="7" s="1"/>
  <c r="K30" i="6"/>
  <c r="K29" i="6"/>
  <c r="K26" i="6"/>
  <c r="B24" i="6" a="1"/>
  <c r="G24" i="6" s="1"/>
  <c r="K13" i="6"/>
  <c r="K12" i="6"/>
  <c r="B12" i="6" a="1"/>
  <c r="I12" i="6" s="1"/>
  <c r="K11" i="6"/>
  <c r="K10" i="6"/>
  <c r="K9" i="6"/>
  <c r="K8" i="6"/>
  <c r="K7" i="6"/>
  <c r="K6" i="6"/>
  <c r="B6" i="6" a="1"/>
  <c r="C6" i="3"/>
  <c r="H35" i="7" l="1"/>
  <c r="I35" i="7"/>
  <c r="D35" i="7"/>
  <c r="B35" i="7"/>
  <c r="B2" i="8"/>
  <c r="J2" i="8"/>
  <c r="K24" i="8"/>
  <c r="K24" i="6"/>
  <c r="K24" i="7"/>
  <c r="G3" i="7"/>
  <c r="C3" i="7"/>
  <c r="B3" i="7"/>
  <c r="G36" i="7"/>
  <c r="I36" i="7"/>
  <c r="H36" i="7"/>
  <c r="B18" i="7"/>
  <c r="D18" i="7"/>
  <c r="E18" i="7"/>
  <c r="K37" i="8"/>
  <c r="K37" i="7"/>
  <c r="K37" i="6"/>
  <c r="B16" i="7"/>
  <c r="I16" i="7"/>
  <c r="E16" i="7"/>
  <c r="H16" i="7"/>
  <c r="C16" i="7"/>
  <c r="F16" i="7"/>
  <c r="D16" i="7"/>
  <c r="G16" i="7"/>
  <c r="J16" i="7"/>
  <c r="G13" i="7"/>
  <c r="C13" i="7"/>
  <c r="J13" i="7"/>
  <c r="B13" i="7"/>
  <c r="I13" i="7"/>
  <c r="F22" i="8"/>
  <c r="J22" i="8"/>
  <c r="E28" i="7"/>
  <c r="B28" i="7"/>
  <c r="J28" i="7"/>
  <c r="I28" i="7"/>
  <c r="G28" i="7"/>
  <c r="D28" i="7"/>
  <c r="F4" i="7"/>
  <c r="G4" i="7"/>
  <c r="D31" i="8"/>
  <c r="I31" i="8"/>
  <c r="K31" i="7"/>
  <c r="K31" i="8"/>
  <c r="K31" i="6"/>
  <c r="K28" i="7"/>
  <c r="K28" i="8"/>
  <c r="K28" i="6"/>
  <c r="K27" i="6"/>
  <c r="K27" i="8"/>
  <c r="K27" i="7"/>
  <c r="C30" i="7"/>
  <c r="I30" i="7"/>
  <c r="E30" i="7"/>
  <c r="G30" i="7"/>
  <c r="K5" i="2"/>
  <c r="K5" i="7"/>
  <c r="C8" i="7"/>
  <c r="J26" i="7"/>
  <c r="E34" i="7"/>
  <c r="E38" i="7"/>
  <c r="K5" i="8"/>
  <c r="B13" i="8" a="1"/>
  <c r="C13" i="8" s="1"/>
  <c r="K4" i="7"/>
  <c r="G6" i="7"/>
  <c r="B23" i="7" a="1"/>
  <c r="J23" i="7" s="1"/>
  <c r="B31" i="7" a="1"/>
  <c r="B16" i="8" a="1"/>
  <c r="J16" i="8" s="1"/>
  <c r="O23" i="6"/>
  <c r="N27" i="6"/>
  <c r="M31" i="6"/>
  <c r="L35" i="6"/>
  <c r="O38" i="6"/>
  <c r="N23" i="7"/>
  <c r="M27" i="7"/>
  <c r="L31" i="7"/>
  <c r="O34" i="7"/>
  <c r="N38" i="7"/>
  <c r="M23" i="8"/>
  <c r="L27" i="8"/>
  <c r="O30" i="8"/>
  <c r="N34" i="8"/>
  <c r="M38" i="8"/>
  <c r="K18" i="2"/>
  <c r="K3" i="2"/>
  <c r="F9" i="8"/>
  <c r="H5" i="7"/>
  <c r="B2" i="6" a="1"/>
  <c r="B2" i="6" s="1"/>
  <c r="K14" i="6"/>
  <c r="K3" i="7"/>
  <c r="D6" i="7"/>
  <c r="F8" i="7"/>
  <c r="K18" i="7"/>
  <c r="K4" i="6"/>
  <c r="B5" i="7"/>
  <c r="H6" i="7"/>
  <c r="K16" i="7"/>
  <c r="K16" i="8"/>
  <c r="L24" i="6"/>
  <c r="O27" i="6"/>
  <c r="N31" i="6"/>
  <c r="M35" i="6"/>
  <c r="O23" i="7"/>
  <c r="N27" i="7"/>
  <c r="M31" i="7"/>
  <c r="L35" i="7"/>
  <c r="O38" i="7"/>
  <c r="N23" i="8"/>
  <c r="M27" i="8"/>
  <c r="L31" i="8"/>
  <c r="O34" i="8"/>
  <c r="N38" i="8"/>
  <c r="K14" i="2"/>
  <c r="B24" i="7" a="1"/>
  <c r="M24" i="6"/>
  <c r="L28" i="6"/>
  <c r="O31" i="6"/>
  <c r="N35" i="6"/>
  <c r="B9" i="8"/>
  <c r="K2" i="2"/>
  <c r="E12" i="8"/>
  <c r="E27" i="8"/>
  <c r="F12" i="8"/>
  <c r="I9" i="8"/>
  <c r="K12" i="2"/>
  <c r="C9" i="8"/>
  <c r="I2" i="7"/>
  <c r="E11" i="7"/>
  <c r="D29" i="7"/>
  <c r="D2" i="7"/>
  <c r="D7" i="7"/>
  <c r="C11" i="7"/>
  <c r="C29" i="7"/>
  <c r="B34" i="7"/>
  <c r="K16" i="2"/>
  <c r="B35" i="6" a="1"/>
  <c r="I35" i="6" s="1"/>
  <c r="C6" i="7"/>
  <c r="E8" i="7"/>
  <c r="G38" i="7"/>
  <c r="H10" i="8"/>
  <c r="D12" i="8"/>
  <c r="K15" i="2"/>
  <c r="J11" i="7"/>
  <c r="H26" i="7"/>
  <c r="F29" i="7"/>
  <c r="C38" i="7"/>
  <c r="E6" i="7"/>
  <c r="G8" i="7"/>
  <c r="I38" i="7"/>
  <c r="K7" i="8"/>
  <c r="M23" i="6"/>
  <c r="L27" i="6"/>
  <c r="O30" i="6"/>
  <c r="N34" i="6"/>
  <c r="M38" i="6"/>
  <c r="K3" i="8"/>
  <c r="E9" i="8"/>
  <c r="D18" i="8"/>
  <c r="D8" i="7"/>
  <c r="F38" i="7"/>
  <c r="H38" i="7"/>
  <c r="I10" i="8"/>
  <c r="K15" i="6"/>
  <c r="F6" i="7"/>
  <c r="H8" i="7"/>
  <c r="J38" i="7"/>
  <c r="B11" i="6" a="1"/>
  <c r="J11" i="6" s="1"/>
  <c r="B22" i="6" a="1"/>
  <c r="I22" i="6" s="1"/>
  <c r="I7" i="7"/>
  <c r="F10" i="7"/>
  <c r="J15" i="7"/>
  <c r="B23" i="7"/>
  <c r="B26" i="7"/>
  <c r="F28" i="7"/>
  <c r="H31" i="7"/>
  <c r="G2" i="8"/>
  <c r="D4" i="8"/>
  <c r="G22" i="8"/>
  <c r="G24" i="8"/>
  <c r="F31" i="8"/>
  <c r="E33" i="8"/>
  <c r="C36" i="8"/>
  <c r="H2" i="8"/>
  <c r="E4" i="8"/>
  <c r="H22" i="8"/>
  <c r="H24" i="8"/>
  <c r="C27" i="8"/>
  <c r="G31" i="8"/>
  <c r="F33" i="8"/>
  <c r="D36" i="8"/>
  <c r="B12" i="6"/>
  <c r="F23" i="7"/>
  <c r="C26" i="7"/>
  <c r="H28" i="7"/>
  <c r="D30" i="7"/>
  <c r="J35" i="7"/>
  <c r="D38" i="7"/>
  <c r="I2" i="8"/>
  <c r="F4" i="8"/>
  <c r="I8" i="8"/>
  <c r="G10" i="8"/>
  <c r="C12" i="8"/>
  <c r="B14" i="8"/>
  <c r="I22" i="8"/>
  <c r="D27" i="8"/>
  <c r="H31" i="8"/>
  <c r="G33" i="8"/>
  <c r="G4" i="8"/>
  <c r="F12" i="6"/>
  <c r="G14" i="7"/>
  <c r="B24" i="7"/>
  <c r="I26" i="7"/>
  <c r="F30" i="7"/>
  <c r="B33" i="7"/>
  <c r="B36" i="7"/>
  <c r="H4" i="8"/>
  <c r="C14" i="8"/>
  <c r="C25" i="8"/>
  <c r="C37" i="8"/>
  <c r="D14" i="8"/>
  <c r="D25" i="8"/>
  <c r="D34" i="8"/>
  <c r="G12" i="6"/>
  <c r="B7" i="6" a="1"/>
  <c r="B15" i="7"/>
  <c r="C18" i="7"/>
  <c r="H30" i="7"/>
  <c r="F33" i="7"/>
  <c r="C36" i="7"/>
  <c r="D3" i="8"/>
  <c r="B11" i="8"/>
  <c r="G12" i="8"/>
  <c r="E14" i="8"/>
  <c r="I18" i="8"/>
  <c r="G23" i="8"/>
  <c r="E25" i="8"/>
  <c r="D32" i="8"/>
  <c r="E34" i="8"/>
  <c r="E3" i="8"/>
  <c r="H12" i="8"/>
  <c r="F14" i="8"/>
  <c r="J18" i="8"/>
  <c r="H23" i="8"/>
  <c r="F25" i="8"/>
  <c r="B29" i="8"/>
  <c r="E32" i="8"/>
  <c r="F34" i="8"/>
  <c r="D12" i="7"/>
  <c r="C15" i="7"/>
  <c r="G27" i="7"/>
  <c r="F3" i="8"/>
  <c r="B6" i="8"/>
  <c r="D9" i="8"/>
  <c r="C11" i="8"/>
  <c r="J12" i="8"/>
  <c r="H14" i="8"/>
  <c r="I23" i="8"/>
  <c r="G25" i="8"/>
  <c r="F32" i="8"/>
  <c r="I12" i="7"/>
  <c r="D15" i="7"/>
  <c r="F18" i="7"/>
  <c r="B25" i="7"/>
  <c r="E29" i="7"/>
  <c r="J36" i="7"/>
  <c r="G3" i="8"/>
  <c r="B22" i="8"/>
  <c r="G32" i="8"/>
  <c r="H32" i="8"/>
  <c r="C35" i="8"/>
  <c r="H3" i="8"/>
  <c r="F2" i="6"/>
  <c r="H3" i="7"/>
  <c r="E7" i="7"/>
  <c r="F15" i="7"/>
  <c r="D25" i="7"/>
  <c r="I3" i="8"/>
  <c r="G9" i="8"/>
  <c r="F11" i="8"/>
  <c r="D13" i="8"/>
  <c r="C22" i="8"/>
  <c r="C24" i="8"/>
  <c r="D26" i="8"/>
  <c r="J30" i="8"/>
  <c r="D35" i="8"/>
  <c r="E15" i="7"/>
  <c r="B16" i="6" a="1"/>
  <c r="G16" i="6" s="1"/>
  <c r="I5" i="7"/>
  <c r="H18" i="7"/>
  <c r="G29" i="7"/>
  <c r="D31" i="7"/>
  <c r="J34" i="7"/>
  <c r="C2" i="8"/>
  <c r="B9" i="6" a="1"/>
  <c r="E9" i="6" s="1"/>
  <c r="I3" i="7"/>
  <c r="F7" i="7"/>
  <c r="B10" i="7"/>
  <c r="G15" i="7"/>
  <c r="I25" i="7"/>
  <c r="C28" i="7"/>
  <c r="H29" i="7"/>
  <c r="E31" i="7"/>
  <c r="G37" i="7"/>
  <c r="D2" i="8"/>
  <c r="J7" i="8"/>
  <c r="H9" i="8"/>
  <c r="G11" i="8"/>
  <c r="B16" i="8"/>
  <c r="D22" i="8"/>
  <c r="D24" i="8"/>
  <c r="E26" i="8"/>
  <c r="E35" i="8"/>
  <c r="G18" i="7"/>
  <c r="C33" i="8"/>
  <c r="I2" i="6"/>
  <c r="J3" i="7"/>
  <c r="G7" i="7"/>
  <c r="H15" i="7"/>
  <c r="J25" i="7"/>
  <c r="I29" i="7"/>
  <c r="F31" i="7"/>
  <c r="E2" i="8"/>
  <c r="F13" i="8"/>
  <c r="E22" i="8"/>
  <c r="E24" i="8"/>
  <c r="F26" i="8"/>
  <c r="H7" i="7"/>
  <c r="D10" i="7"/>
  <c r="H13" i="7"/>
  <c r="E17" i="7"/>
  <c r="J29" i="7"/>
  <c r="G31" i="7"/>
  <c r="F2" i="8"/>
  <c r="C4" i="8"/>
  <c r="B8" i="8"/>
  <c r="I11" i="8"/>
  <c r="C16" i="8"/>
  <c r="F24" i="8"/>
  <c r="E31" i="8"/>
  <c r="D33" i="8"/>
  <c r="F6" i="6"/>
  <c r="D6" i="6"/>
  <c r="B6" i="6"/>
  <c r="I6" i="6"/>
  <c r="J6" i="6"/>
  <c r="E11" i="6"/>
  <c r="H2" i="6"/>
  <c r="E2" i="6"/>
  <c r="D2" i="6"/>
  <c r="C2" i="6"/>
  <c r="E7" i="6"/>
  <c r="J12" i="6"/>
  <c r="H12" i="6"/>
  <c r="E12" i="6"/>
  <c r="D12" i="6"/>
  <c r="C12" i="6"/>
  <c r="B24" i="6"/>
  <c r="I24" i="6"/>
  <c r="H24" i="6"/>
  <c r="F24" i="6"/>
  <c r="E24" i="6"/>
  <c r="D24" i="6"/>
  <c r="C24" i="6"/>
  <c r="D9" i="6"/>
  <c r="J24" i="6"/>
  <c r="D22" i="6"/>
  <c r="E6" i="6"/>
  <c r="G6" i="6"/>
  <c r="H6" i="6"/>
  <c r="H16" i="6"/>
  <c r="J16" i="6"/>
  <c r="I16" i="6"/>
  <c r="C22" i="6"/>
  <c r="B22" i="6"/>
  <c r="H22" i="6"/>
  <c r="E22" i="6"/>
  <c r="C6" i="6"/>
  <c r="H35" i="6"/>
  <c r="G35" i="6"/>
  <c r="F35" i="6"/>
  <c r="B3" i="6" a="1"/>
  <c r="J17" i="8"/>
  <c r="B13" i="6" a="1"/>
  <c r="B4" i="6" a="1"/>
  <c r="B14" i="6" a="1"/>
  <c r="B27" i="6" a="1"/>
  <c r="B37" i="6" a="1"/>
  <c r="J2" i="7"/>
  <c r="H4" i="7"/>
  <c r="C9" i="7"/>
  <c r="B11" i="7"/>
  <c r="J12" i="7"/>
  <c r="H14" i="7"/>
  <c r="C22" i="7"/>
  <c r="H27" i="7"/>
  <c r="C32" i="7"/>
  <c r="H37" i="7"/>
  <c r="C5" i="8"/>
  <c r="B7" i="8"/>
  <c r="C15" i="8"/>
  <c r="B17" i="8"/>
  <c r="C28" i="8"/>
  <c r="B30" i="8"/>
  <c r="J31" i="8"/>
  <c r="I32" i="8"/>
  <c r="H33" i="8"/>
  <c r="G34" i="8"/>
  <c r="F35" i="8"/>
  <c r="E36" i="8"/>
  <c r="D37" i="8"/>
  <c r="C38" i="8"/>
  <c r="B25" i="6" a="1"/>
  <c r="B26" i="6" a="1"/>
  <c r="B36" i="6" a="1"/>
  <c r="B5" i="6" a="1"/>
  <c r="B15" i="6" a="1"/>
  <c r="B28" i="6" a="1"/>
  <c r="B38" i="6" a="1"/>
  <c r="B2" i="7"/>
  <c r="I4" i="7"/>
  <c r="D9" i="7"/>
  <c r="C10" i="7"/>
  <c r="B12" i="7"/>
  <c r="I14" i="7"/>
  <c r="D22" i="7"/>
  <c r="C23" i="7"/>
  <c r="I27" i="7"/>
  <c r="D32" i="7"/>
  <c r="C33" i="7"/>
  <c r="I37" i="7"/>
  <c r="D5" i="8"/>
  <c r="C6" i="8"/>
  <c r="D15" i="8"/>
  <c r="D28" i="8"/>
  <c r="C29" i="8"/>
  <c r="B31" i="8"/>
  <c r="J32" i="8"/>
  <c r="I33" i="8"/>
  <c r="H34" i="8"/>
  <c r="G35" i="8"/>
  <c r="F36" i="8"/>
  <c r="E37" i="8"/>
  <c r="D38" i="8"/>
  <c r="B29" i="6" a="1"/>
  <c r="J4" i="7"/>
  <c r="E9" i="7"/>
  <c r="J14" i="7"/>
  <c r="E22" i="7"/>
  <c r="D23" i="7"/>
  <c r="C24" i="7"/>
  <c r="J27" i="7"/>
  <c r="E32" i="7"/>
  <c r="D33" i="7"/>
  <c r="C34" i="7"/>
  <c r="J37" i="7"/>
  <c r="E5" i="8"/>
  <c r="D6" i="8"/>
  <c r="C7" i="8"/>
  <c r="J10" i="8"/>
  <c r="E15" i="8"/>
  <c r="D16" i="8"/>
  <c r="C17" i="8"/>
  <c r="J23" i="8"/>
  <c r="I24" i="8"/>
  <c r="H25" i="8"/>
  <c r="G26" i="8"/>
  <c r="F27" i="8"/>
  <c r="E28" i="8"/>
  <c r="D29" i="8"/>
  <c r="C30" i="8"/>
  <c r="B32" i="8"/>
  <c r="J33" i="8"/>
  <c r="I34" i="8"/>
  <c r="H35" i="8"/>
  <c r="G36" i="8"/>
  <c r="F37" i="8"/>
  <c r="E38" i="8"/>
  <c r="B17" i="6" a="1"/>
  <c r="B30" i="6" a="1"/>
  <c r="C2" i="7"/>
  <c r="B4" i="7"/>
  <c r="F9" i="7"/>
  <c r="E10" i="7"/>
  <c r="D11" i="7"/>
  <c r="C12" i="7"/>
  <c r="B14" i="7"/>
  <c r="F22" i="7"/>
  <c r="E23" i="7"/>
  <c r="D24" i="7"/>
  <c r="C25" i="7"/>
  <c r="B27" i="7"/>
  <c r="F32" i="7"/>
  <c r="E33" i="7"/>
  <c r="D34" i="7"/>
  <c r="C35" i="7"/>
  <c r="B37" i="7"/>
  <c r="F5" i="8"/>
  <c r="E6" i="8"/>
  <c r="D7" i="8"/>
  <c r="C8" i="8"/>
  <c r="B10" i="8"/>
  <c r="I12" i="8"/>
  <c r="H13" i="8"/>
  <c r="G14" i="8"/>
  <c r="F15" i="8"/>
  <c r="E16" i="8"/>
  <c r="D17" i="8"/>
  <c r="C18" i="8"/>
  <c r="B23" i="8"/>
  <c r="J24" i="8"/>
  <c r="I25" i="8"/>
  <c r="H26" i="8"/>
  <c r="G27" i="8"/>
  <c r="F28" i="8"/>
  <c r="E29" i="8"/>
  <c r="D30" i="8"/>
  <c r="C31" i="8"/>
  <c r="J34" i="8"/>
  <c r="I35" i="8"/>
  <c r="H36" i="8"/>
  <c r="G37" i="8"/>
  <c r="F38" i="8"/>
  <c r="B8" i="6" a="1"/>
  <c r="B18" i="6" a="1"/>
  <c r="B31" i="6" a="1"/>
  <c r="G9" i="7"/>
  <c r="G22" i="7"/>
  <c r="G32" i="7"/>
  <c r="G5" i="8"/>
  <c r="F6" i="8"/>
  <c r="E7" i="8"/>
  <c r="G15" i="8"/>
  <c r="F16" i="8"/>
  <c r="E17" i="8"/>
  <c r="J25" i="8"/>
  <c r="I26" i="8"/>
  <c r="H27" i="8"/>
  <c r="G28" i="8"/>
  <c r="F29" i="8"/>
  <c r="E30" i="8"/>
  <c r="B34" i="8"/>
  <c r="J35" i="8"/>
  <c r="I36" i="8"/>
  <c r="H37" i="8"/>
  <c r="G38" i="8"/>
  <c r="B32" i="6" a="1"/>
  <c r="E2" i="7"/>
  <c r="D3" i="7"/>
  <c r="C4" i="7"/>
  <c r="J7" i="7"/>
  <c r="I8" i="7"/>
  <c r="H9" i="7"/>
  <c r="G10" i="7"/>
  <c r="F11" i="7"/>
  <c r="E12" i="7"/>
  <c r="D13" i="7"/>
  <c r="C14" i="7"/>
  <c r="J17" i="7"/>
  <c r="I18" i="7"/>
  <c r="H22" i="7"/>
  <c r="G23" i="7"/>
  <c r="F24" i="7"/>
  <c r="E25" i="7"/>
  <c r="D26" i="7"/>
  <c r="C27" i="7"/>
  <c r="J30" i="7"/>
  <c r="I31" i="7"/>
  <c r="H32" i="7"/>
  <c r="G33" i="7"/>
  <c r="F34" i="7"/>
  <c r="E35" i="7"/>
  <c r="D36" i="7"/>
  <c r="C37" i="7"/>
  <c r="J3" i="8"/>
  <c r="I4" i="8"/>
  <c r="H5" i="8"/>
  <c r="G6" i="8"/>
  <c r="F7" i="8"/>
  <c r="E8" i="8"/>
  <c r="C10" i="8"/>
  <c r="J13" i="8"/>
  <c r="I14" i="8"/>
  <c r="H15" i="8"/>
  <c r="G16" i="8"/>
  <c r="F17" i="8"/>
  <c r="E18" i="8"/>
  <c r="C23" i="8"/>
  <c r="J26" i="8"/>
  <c r="I27" i="8"/>
  <c r="H28" i="8"/>
  <c r="G29" i="8"/>
  <c r="F30" i="8"/>
  <c r="J36" i="8"/>
  <c r="I37" i="8"/>
  <c r="H38" i="8"/>
  <c r="B10" i="6" a="1"/>
  <c r="B23" i="6" a="1"/>
  <c r="B33" i="6" a="1"/>
  <c r="F2" i="7"/>
  <c r="E3" i="7"/>
  <c r="D4" i="7"/>
  <c r="B7" i="7"/>
  <c r="J8" i="7"/>
  <c r="I9" i="7"/>
  <c r="H10" i="7"/>
  <c r="G11" i="7"/>
  <c r="F12" i="7"/>
  <c r="E13" i="7"/>
  <c r="D14" i="7"/>
  <c r="B17" i="7"/>
  <c r="J18" i="7"/>
  <c r="I22" i="7"/>
  <c r="H23" i="7"/>
  <c r="G24" i="7"/>
  <c r="F25" i="7"/>
  <c r="E26" i="7"/>
  <c r="D27" i="7"/>
  <c r="B30" i="7"/>
  <c r="J31" i="7"/>
  <c r="I32" i="7"/>
  <c r="H33" i="7"/>
  <c r="G34" i="7"/>
  <c r="F35" i="7"/>
  <c r="E36" i="7"/>
  <c r="D37" i="7"/>
  <c r="B3" i="8"/>
  <c r="J4" i="8"/>
  <c r="I5" i="8"/>
  <c r="H6" i="8"/>
  <c r="G7" i="8"/>
  <c r="F8" i="8"/>
  <c r="D10" i="8"/>
  <c r="B13" i="8"/>
  <c r="I15" i="8"/>
  <c r="H16" i="8"/>
  <c r="G17" i="8"/>
  <c r="F18" i="8"/>
  <c r="D23" i="8"/>
  <c r="B26" i="8"/>
  <c r="J27" i="8"/>
  <c r="I28" i="8"/>
  <c r="H29" i="8"/>
  <c r="G30" i="8"/>
  <c r="J37" i="8"/>
  <c r="I38" i="8"/>
  <c r="B34" i="6" a="1"/>
  <c r="G2" i="7"/>
  <c r="F3" i="7"/>
  <c r="E4" i="7"/>
  <c r="J9" i="7"/>
  <c r="I10" i="7"/>
  <c r="H11" i="7"/>
  <c r="G12" i="7"/>
  <c r="F13" i="7"/>
  <c r="E14" i="7"/>
  <c r="J22" i="7"/>
  <c r="I23" i="7"/>
  <c r="H24" i="7"/>
  <c r="G25" i="7"/>
  <c r="F26" i="7"/>
  <c r="E27" i="7"/>
  <c r="J32" i="7"/>
  <c r="I33" i="7"/>
  <c r="H34" i="7"/>
  <c r="G35" i="7"/>
  <c r="F36" i="7"/>
  <c r="E37" i="7"/>
  <c r="J5" i="8"/>
  <c r="I6" i="8"/>
  <c r="H7" i="8"/>
  <c r="G8" i="8"/>
  <c r="E10" i="8"/>
  <c r="J15" i="8"/>
  <c r="I16" i="8"/>
  <c r="H17" i="8"/>
  <c r="G18" i="8"/>
  <c r="E23" i="8"/>
  <c r="J28" i="8"/>
  <c r="I29" i="8"/>
  <c r="H30" i="8"/>
  <c r="J38" i="8"/>
  <c r="G22" i="6" l="1"/>
  <c r="H11" i="6"/>
  <c r="F9" i="6"/>
  <c r="D11" i="6"/>
  <c r="K23" i="8"/>
  <c r="K23" i="6"/>
  <c r="K23" i="7"/>
  <c r="G9" i="6"/>
  <c r="I24" i="7"/>
  <c r="J24" i="7"/>
  <c r="K38" i="8"/>
  <c r="K38" i="6"/>
  <c r="K38" i="7"/>
  <c r="J22" i="6"/>
  <c r="G11" i="6"/>
  <c r="B9" i="6"/>
  <c r="F11" i="6"/>
  <c r="K34" i="7"/>
  <c r="K34" i="8"/>
  <c r="K34" i="6"/>
  <c r="C35" i="6"/>
  <c r="C9" i="6"/>
  <c r="I11" i="6"/>
  <c r="K35" i="6"/>
  <c r="K35" i="8"/>
  <c r="K35" i="7"/>
  <c r="B31" i="7"/>
  <c r="C31" i="7"/>
  <c r="D35" i="6"/>
  <c r="B11" i="6"/>
  <c r="E35" i="6"/>
  <c r="E16" i="6"/>
  <c r="C11" i="6"/>
  <c r="K32" i="7"/>
  <c r="K32" i="6"/>
  <c r="K32" i="8"/>
  <c r="E24" i="7"/>
  <c r="B16" i="6"/>
  <c r="J35" i="6"/>
  <c r="C16" i="6"/>
  <c r="K22" i="7"/>
  <c r="K22" i="8"/>
  <c r="K22" i="6"/>
  <c r="K36" i="7"/>
  <c r="K36" i="6"/>
  <c r="K36" i="8"/>
  <c r="B35" i="6"/>
  <c r="D16" i="6"/>
  <c r="F16" i="6"/>
  <c r="I13" i="8"/>
  <c r="F22" i="6"/>
  <c r="J2" i="6"/>
  <c r="G13" i="8"/>
  <c r="E13" i="8"/>
  <c r="G2" i="6"/>
  <c r="K25" i="7"/>
  <c r="K25" i="6"/>
  <c r="K25" i="8"/>
  <c r="G7" i="6"/>
  <c r="B7" i="6"/>
  <c r="F7" i="6"/>
  <c r="D7" i="6"/>
  <c r="J9" i="6"/>
  <c r="H9" i="6"/>
  <c r="I9" i="6"/>
  <c r="H7" i="6"/>
  <c r="I7" i="6"/>
  <c r="J7" i="6"/>
  <c r="C7" i="6"/>
  <c r="B34" i="6"/>
  <c r="J34" i="6"/>
  <c r="I34" i="6"/>
  <c r="H34" i="6"/>
  <c r="G34" i="6"/>
  <c r="F34" i="6"/>
  <c r="E34" i="6"/>
  <c r="D34" i="6"/>
  <c r="C34" i="6"/>
  <c r="J10" i="6"/>
  <c r="G10" i="6"/>
  <c r="F10" i="6"/>
  <c r="E10" i="6"/>
  <c r="C10" i="6"/>
  <c r="B10" i="6"/>
  <c r="I10" i="6"/>
  <c r="H10" i="6"/>
  <c r="D10" i="6"/>
  <c r="D32" i="6"/>
  <c r="C32" i="6"/>
  <c r="B32" i="6"/>
  <c r="J32" i="6"/>
  <c r="I32" i="6"/>
  <c r="H32" i="6"/>
  <c r="G32" i="6"/>
  <c r="F32" i="6"/>
  <c r="E32" i="6"/>
  <c r="G15" i="6"/>
  <c r="E15" i="6"/>
  <c r="B15" i="6"/>
  <c r="J15" i="6"/>
  <c r="I15" i="6"/>
  <c r="F15" i="6"/>
  <c r="D15" i="6"/>
  <c r="C15" i="6"/>
  <c r="H15" i="6"/>
  <c r="I27" i="6"/>
  <c r="H27" i="6"/>
  <c r="F27" i="6"/>
  <c r="E27" i="6"/>
  <c r="C27" i="6"/>
  <c r="B27" i="6"/>
  <c r="J27" i="6"/>
  <c r="G27" i="6"/>
  <c r="D27" i="6"/>
  <c r="G5" i="6"/>
  <c r="E5" i="6"/>
  <c r="B5" i="6"/>
  <c r="J5" i="6"/>
  <c r="D5" i="6"/>
  <c r="C5" i="6"/>
  <c r="I5" i="6"/>
  <c r="H5" i="6"/>
  <c r="F5" i="6"/>
  <c r="H14" i="6"/>
  <c r="F14" i="6"/>
  <c r="C14" i="6"/>
  <c r="B14" i="6"/>
  <c r="J14" i="6"/>
  <c r="I14" i="6"/>
  <c r="E14" i="6"/>
  <c r="D14" i="6"/>
  <c r="G14" i="6"/>
  <c r="G29" i="6"/>
  <c r="F29" i="6"/>
  <c r="D29" i="6"/>
  <c r="C29" i="6"/>
  <c r="B29" i="6"/>
  <c r="I29" i="6"/>
  <c r="J29" i="6"/>
  <c r="H29" i="6"/>
  <c r="E29" i="6"/>
  <c r="B36" i="6"/>
  <c r="J36" i="6"/>
  <c r="I36" i="6"/>
  <c r="H36" i="6"/>
  <c r="G36" i="6"/>
  <c r="F36" i="6"/>
  <c r="E36" i="6"/>
  <c r="D36" i="6"/>
  <c r="C36" i="6"/>
  <c r="H4" i="6"/>
  <c r="F4" i="6"/>
  <c r="C4" i="6"/>
  <c r="B4" i="6"/>
  <c r="I4" i="6"/>
  <c r="E4" i="6"/>
  <c r="J4" i="6"/>
  <c r="G4" i="6"/>
  <c r="D4" i="6"/>
  <c r="E31" i="6"/>
  <c r="D31" i="6"/>
  <c r="B31" i="6"/>
  <c r="J31" i="6"/>
  <c r="I31" i="6"/>
  <c r="H31" i="6"/>
  <c r="G31" i="6"/>
  <c r="F31" i="6"/>
  <c r="C31" i="6"/>
  <c r="J26" i="6"/>
  <c r="I26" i="6"/>
  <c r="G26" i="6"/>
  <c r="F26" i="6"/>
  <c r="D26" i="6"/>
  <c r="C26" i="6"/>
  <c r="B26" i="6"/>
  <c r="E26" i="6"/>
  <c r="H26" i="6"/>
  <c r="I13" i="6"/>
  <c r="G13" i="6"/>
  <c r="D13" i="6"/>
  <c r="C13" i="6"/>
  <c r="H13" i="6"/>
  <c r="E13" i="6"/>
  <c r="F13" i="6"/>
  <c r="B13" i="6"/>
  <c r="J13" i="6"/>
  <c r="D8" i="6"/>
  <c r="I8" i="6"/>
  <c r="H8" i="6"/>
  <c r="G8" i="6"/>
  <c r="F8" i="6"/>
  <c r="C8" i="6"/>
  <c r="E8" i="6"/>
  <c r="B8" i="6"/>
  <c r="J8" i="6"/>
  <c r="B25" i="6"/>
  <c r="J25" i="6"/>
  <c r="H25" i="6"/>
  <c r="G25" i="6"/>
  <c r="E25" i="6"/>
  <c r="D25" i="6"/>
  <c r="C25" i="6"/>
  <c r="I25" i="6"/>
  <c r="F25" i="6"/>
  <c r="C33" i="6"/>
  <c r="B33" i="6"/>
  <c r="J33" i="6"/>
  <c r="I33" i="6"/>
  <c r="H33" i="6"/>
  <c r="G33" i="6"/>
  <c r="D33" i="6"/>
  <c r="F33" i="6"/>
  <c r="E33" i="6"/>
  <c r="I3" i="6"/>
  <c r="G3" i="6"/>
  <c r="D3" i="6"/>
  <c r="C3" i="6"/>
  <c r="H3" i="6"/>
  <c r="E3" i="6"/>
  <c r="F3" i="6"/>
  <c r="B3" i="6"/>
  <c r="J3" i="6"/>
  <c r="D18" i="6"/>
  <c r="B18" i="6"/>
  <c r="I18" i="6"/>
  <c r="H18" i="6"/>
  <c r="G18" i="6"/>
  <c r="F18" i="6"/>
  <c r="J18" i="6"/>
  <c r="E18" i="6"/>
  <c r="C18" i="6"/>
  <c r="F30" i="6"/>
  <c r="E30" i="6"/>
  <c r="C30" i="6"/>
  <c r="B30" i="6"/>
  <c r="J30" i="6"/>
  <c r="G30" i="6"/>
  <c r="I30" i="6"/>
  <c r="H30" i="6"/>
  <c r="D30" i="6"/>
  <c r="E17" i="6"/>
  <c r="C17" i="6"/>
  <c r="J17" i="6"/>
  <c r="I17" i="6"/>
  <c r="H17" i="6"/>
  <c r="G17" i="6"/>
  <c r="F17" i="6"/>
  <c r="B17" i="6"/>
  <c r="D17" i="6"/>
  <c r="I38" i="6"/>
  <c r="H38" i="6"/>
  <c r="G38" i="6"/>
  <c r="F38" i="6"/>
  <c r="E38" i="6"/>
  <c r="D38" i="6"/>
  <c r="C38" i="6"/>
  <c r="J38" i="6"/>
  <c r="B38" i="6"/>
  <c r="J23" i="6"/>
  <c r="I23" i="6"/>
  <c r="G23" i="6"/>
  <c r="F23" i="6"/>
  <c r="E23" i="6"/>
  <c r="D23" i="6"/>
  <c r="C23" i="6"/>
  <c r="B23" i="6"/>
  <c r="H23" i="6"/>
  <c r="H28" i="6"/>
  <c r="G28" i="6"/>
  <c r="E28" i="6"/>
  <c r="D28" i="6"/>
  <c r="I28" i="6"/>
  <c r="B28" i="6"/>
  <c r="J28" i="6"/>
  <c r="C28" i="6"/>
  <c r="F28" i="6"/>
  <c r="J37" i="6"/>
  <c r="I37" i="6"/>
  <c r="H37" i="6"/>
  <c r="G37" i="6"/>
  <c r="F37" i="6"/>
  <c r="E37" i="6"/>
  <c r="D37" i="6"/>
  <c r="C37" i="6"/>
  <c r="B3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000-000002000000}">
      <text>
        <r>
          <rPr>
            <sz val="12"/>
            <color theme="1"/>
            <rFont val="Calibri"/>
            <family val="2"/>
            <scheme val="minor"/>
          </rPr>
          <t>======
ID#AAABqGUR4WE
tc={C9D2567C-C1F1-9D48-928A-D2D55E1EF6B4}    (2025-08-26 23:11:58)
[Threaded comment]
Your version of Excel allows you to read this threaded comment; however, any edits to it will get removed if the file is opened in a newer version of Excel. Learn more: https://go.microsoft.com/fwlink/?linkid=870924
Comment:
    national average values</t>
        </r>
      </text>
    </comment>
    <comment ref="I6" authorId="0" shapeId="0" xr:uid="{00000000-0006-0000-0000-000003000000}">
      <text>
        <r>
          <rPr>
            <sz val="12"/>
            <color theme="1"/>
            <rFont val="Calibri"/>
            <family val="2"/>
            <scheme val="minor"/>
          </rPr>
          <t>======
ID#AAABqGUR4WA
tc={9F561AE6-3C9B-E34A-A3AB-A03291EE4CD5}    (2025-08-26 23:11:58)
[Threaded comment]
Your version of Excel allows you to read this threaded comment; however, any edits to it will get removed if the file is opened in a newer version of Excel. Learn more: https://go.microsoft.com/fwlink/?linkid=870924
Comment:
    national average (WET)</t>
        </r>
      </text>
    </comment>
    <comment ref="I12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>======
ID#AAABqGjkoy0
tc={3A3A5592-7590-D843-9BC4-71105CED63CF}    (2025-08-26 23:11:58)
[Threaded comment]
Your version of Excel allows you to read this threaded comment; however, any edits to it will get removed if the file is opened in a newer version of Excel. Learn more: https://go.microsoft.com/fwlink/?linkid=870924
Comment:
    national average (DRY)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6oE311FC5mIYQhtHeZ83DKUTjm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100-000003000000}">
      <text>
        <r>
          <rPr>
            <sz val="12"/>
            <color theme="1"/>
            <rFont val="Calibri"/>
            <family val="2"/>
            <scheme val="minor"/>
          </rPr>
          <t>======
ID#AAABqGUR4V4
tc={DCFB97BA-1280-3D42-A38D-D0B8543D1D5D}    (2025-08-26 23:11:58)
[Threaded comment]
Your version of Excel allows you to read this threaded comment; however, any edits to it will get removed if the file is opened in a newer version of Excel. Learn more: https://go.microsoft.com/fwlink/?linkid=870924
Comment:
    national average values</t>
        </r>
      </text>
    </comment>
    <comment ref="I6" authorId="0" shapeId="0" xr:uid="{00000000-0006-0000-0100-000001000000}">
      <text>
        <r>
          <rPr>
            <sz val="12"/>
            <color theme="1"/>
            <rFont val="Calibri"/>
            <family val="2"/>
            <scheme val="minor"/>
          </rPr>
          <t>======
ID#AAABqGjkoyw
tc={F054B9E5-B9F1-BB49-9BC3-3F6694BE4A91}    (2025-08-26 23:11:58)
[Threaded comment]
Your version of Excel allows you to read this threaded comment; however, any edits to it will get removed if the file is opened in a newer version of Excel. Learn more: https://go.microsoft.com/fwlink/?linkid=870924
Comment:
    national average (WET)</t>
        </r>
      </text>
    </comment>
    <comment ref="I12" authorId="0" shapeId="0" xr:uid="{00000000-0006-0000-0100-000002000000}">
      <text>
        <r>
          <rPr>
            <sz val="12"/>
            <color theme="1"/>
            <rFont val="Calibri"/>
            <family val="2"/>
            <scheme val="minor"/>
          </rPr>
          <t>======
ID#AAABqGUR4V8
tc={FD078654-5079-9A47-BE55-FC4A30D24DAF}    (2025-08-26 23:11:58)
[Threaded comment]
Your version of Excel allows you to read this threaded comment; however, any edits to it will get removed if the file is opened in a newer version of Excel. Learn more: https://go.microsoft.com/fwlink/?linkid=870924
Comment:
    national average (DRY)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4nKEVc9XuW6LohkCrCyfqKPHFQg=="/>
    </ext>
  </extLst>
</comments>
</file>

<file path=xl/sharedStrings.xml><?xml version="1.0" encoding="utf-8"?>
<sst xmlns="http://schemas.openxmlformats.org/spreadsheetml/2006/main" count="328" uniqueCount="127">
  <si>
    <t>State</t>
  </si>
  <si>
    <t>Herbicides (kg/1000kg lint)</t>
  </si>
  <si>
    <t>Insecticides (kg/1000kg lint)</t>
  </si>
  <si>
    <t>Phosphoric Acid (kg/1000kg lint)</t>
  </si>
  <si>
    <t>Potassium Oxide (kg/1000kg lint)</t>
  </si>
  <si>
    <t>Calcium Carbonate (kg/1000kg lint)</t>
  </si>
  <si>
    <t>N Fertilizer (kg/1000kg lint)</t>
  </si>
  <si>
    <t>Diesel (L/1000kg lint)</t>
  </si>
  <si>
    <t>N2O Emission (kg/1000kg lint)</t>
  </si>
  <si>
    <t>Irrigation Water (m³/1000kg lint)_year 2023 surveyed</t>
  </si>
  <si>
    <t>Electricity (kWh/1000kg lint)</t>
  </si>
  <si>
    <t>Irrigation Water (m³/1000kg lint)_year 2049 predicted ssp1</t>
  </si>
  <si>
    <t>Irrigation Water (m³/1000kg lint)_year 2049 predicted ssp2</t>
  </si>
  <si>
    <t>Irrigation Water (m³/1000kg lint)_year 2049 predicted ssp3</t>
  </si>
  <si>
    <t>Irrigation Water (m³/1000kg lint)_year 2049 predicted ssp5</t>
  </si>
  <si>
    <t>Alabama</t>
  </si>
  <si>
    <t>Arizona</t>
  </si>
  <si>
    <t>Arkansas</t>
  </si>
  <si>
    <t>California</t>
  </si>
  <si>
    <t>Florida</t>
  </si>
  <si>
    <t>Georgia</t>
  </si>
  <si>
    <t>Kansas</t>
  </si>
  <si>
    <t>Louisiana</t>
  </si>
  <si>
    <t>Mississippi</t>
  </si>
  <si>
    <t>Missouri</t>
  </si>
  <si>
    <t>New Mexico</t>
  </si>
  <si>
    <t>North Carolina</t>
  </si>
  <si>
    <t>Oklahoma</t>
  </si>
  <si>
    <t>South Carolina</t>
  </si>
  <si>
    <t>Tennessee</t>
  </si>
  <si>
    <t>Texas</t>
  </si>
  <si>
    <t>Virginia</t>
  </si>
  <si>
    <t>Component</t>
  </si>
  <si>
    <t>Unit</t>
  </si>
  <si>
    <t>GHG (kg CO2-eq/unit)</t>
  </si>
  <si>
    <t>Energy Use (MJ/unit)</t>
  </si>
  <si>
    <t>Water Use (L/unit)</t>
  </si>
  <si>
    <t>Data Source</t>
  </si>
  <si>
    <t>Herbicides</t>
  </si>
  <si>
    <t>kg</t>
  </si>
  <si>
    <t>GREET, MIX: FOR CORN STOVER</t>
  </si>
  <si>
    <t>Insecticides</t>
  </si>
  <si>
    <t>GREET, INSECTICIDES PATHWAY</t>
  </si>
  <si>
    <t>Phosphoric Acid</t>
  </si>
  <si>
    <t>GREET, PHOSPHORIC ACID</t>
  </si>
  <si>
    <t>Potassium Oxide</t>
  </si>
  <si>
    <t>GREET, POTASSIUM OXIDE PRODUCTION IN BRAZIL</t>
  </si>
  <si>
    <t>Calcium Carbonate</t>
  </si>
  <si>
    <t>GREET, CACO3 AS FERTILIZER PRODUCTS</t>
  </si>
  <si>
    <t>N Fertilizer Production</t>
  </si>
  <si>
    <t>kg N</t>
  </si>
  <si>
    <t>GREET, NITROGEN AVERAGE</t>
  </si>
  <si>
    <t>Diesel</t>
  </si>
  <si>
    <t>L</t>
  </si>
  <si>
    <t>GREET, DIESEL FOR NON ROAD</t>
  </si>
  <si>
    <t>N2O Emission</t>
  </si>
  <si>
    <t>kg N2O</t>
  </si>
  <si>
    <t>IPCC</t>
  </si>
  <si>
    <t>Irrigation Water</t>
  </si>
  <si>
    <t>m³</t>
  </si>
  <si>
    <t>GREET, PRIMARY RESOURCE</t>
  </si>
  <si>
    <t>GHG Factor (kg CO2-eq/kWh)</t>
  </si>
  <si>
    <t>Energy Factor (MJ/kWh)</t>
  </si>
  <si>
    <t>Water Factor (L/kWh)</t>
  </si>
  <si>
    <t>Scenario Name</t>
  </si>
  <si>
    <t>Description</t>
  </si>
  <si>
    <t>Other Changes</t>
  </si>
  <si>
    <t>Baseline</t>
  </si>
  <si>
    <t>Current practices</t>
  </si>
  <si>
    <t>None</t>
  </si>
  <si>
    <t>Pro Electricity</t>
  </si>
  <si>
    <t>Pro electricity: use 4.4 kwh electricity to replace 1 liter diesel</t>
  </si>
  <si>
    <t>Herbicides (kg CO2/1000kg lint)</t>
  </si>
  <si>
    <t>Insecticides (kg CO2/1000kg lint)</t>
  </si>
  <si>
    <t>Phosphoric Acid (kg CO2/1000kg lint)</t>
  </si>
  <si>
    <t>Potassium Oxide (kg CO2/1000kg lint)</t>
  </si>
  <si>
    <t>Calcium Carbonate (kg CO2/1000kg lint)</t>
  </si>
  <si>
    <t>N Fertilizer (kg CO2/1000kg lint)</t>
  </si>
  <si>
    <t>Diesel (kg CO2/1000kg lint)</t>
  </si>
  <si>
    <t>N2O Emission (kg CO2/1000kg lint)</t>
  </si>
  <si>
    <t>Irrigation Water (kg CO2/1000kg lint)_year 2023 surveyed</t>
  </si>
  <si>
    <t>Electricity (kg CO2 /1000 kg cotton lint)</t>
  </si>
  <si>
    <t/>
  </si>
  <si>
    <t>pro-electricity</t>
  </si>
  <si>
    <t>Herbicides (MJ/1000kg lint)</t>
  </si>
  <si>
    <t>Insecticides (MJ /1000kg lint)</t>
  </si>
  <si>
    <t>Phosphoric Acid (MJ/1000kg lint)</t>
  </si>
  <si>
    <t>Potassium Oxide (MJ/1000kg lint)</t>
  </si>
  <si>
    <t>Calcium Carbonate (MJ/1000kg lint)</t>
  </si>
  <si>
    <t>N Fertilizer (MJ/1000kg lint)</t>
  </si>
  <si>
    <t>Diesel (MJ/1000kg lint)</t>
  </si>
  <si>
    <t>N2O Emission (MJ/1000kg lint)</t>
  </si>
  <si>
    <t>Irrigation Water (MJ/1000kg lint)_year 2023 surveyed</t>
  </si>
  <si>
    <t>Electricity (MJ /1000 kg cotton lint)</t>
  </si>
  <si>
    <t>Herbicides (L/1000kg lint)</t>
  </si>
  <si>
    <t>Insecticides (L/1000kg lint)</t>
  </si>
  <si>
    <t>Phosphoric Acid (L/1000kg lint)</t>
  </si>
  <si>
    <t>Potassium Oxide (L/1000kg lint)</t>
  </si>
  <si>
    <t>Calcium Carbonate (L/1000kg lint)</t>
  </si>
  <si>
    <t>N Fertilizer (L/1000kg lint)</t>
  </si>
  <si>
    <t>N2O Emission (L/1000kg lint)</t>
  </si>
  <si>
    <t>Irrigation Water (L/1000kg lint)_year 2023 surveyed</t>
  </si>
  <si>
    <t>Electricity (L /1000 kg cotton lint)</t>
  </si>
  <si>
    <t>Natural Gas (ginning)</t>
  </si>
  <si>
    <t>GREET</t>
  </si>
  <si>
    <t>Natural Gas Low (m3/1000kg)</t>
  </si>
  <si>
    <t>Natural Gas High (m3/1000kg)</t>
  </si>
  <si>
    <t>Electricity Ginning Low (kWh/1000kg)</t>
  </si>
  <si>
    <t>Electricity Ginning High (kWh/1000kg)</t>
  </si>
  <si>
    <t>NG Ginning Low (kg CO2/1000kg lint)</t>
  </si>
  <si>
    <t>NG Ginning High (kg CO2/1000kg lint)</t>
  </si>
  <si>
    <t>Electricity Ginning Low (kg CO2/1000kg lint)</t>
  </si>
  <si>
    <t>Electricity Ginning High (kg CO2/1000kg lint)</t>
  </si>
  <si>
    <t>NG Ginning Low (MJ/1000kg lint)</t>
  </si>
  <si>
    <t>NG Ginning High (MJ/1000kg lint)</t>
  </si>
  <si>
    <t>Electricity Ginning Low (MJ/1000kg lint)</t>
  </si>
  <si>
    <t>Electricity Ginning High (MJ/1000kg lint)</t>
  </si>
  <si>
    <t>NG Ginning Low (L/1000kg lint)</t>
  </si>
  <si>
    <t>NG Ginning High (L/1000kg lint)</t>
  </si>
  <si>
    <t>Electricity Ginning Low (L/1000kg lint)</t>
  </si>
  <si>
    <t>Electricity Ginning High (L/1000kg lint)</t>
  </si>
  <si>
    <t>Allocation factor</t>
  </si>
  <si>
    <t>Conversion assumption</t>
  </si>
  <si>
    <t>Value</t>
  </si>
  <si>
    <t>Electricity replacing diesel (kWh/L)</t>
  </si>
  <si>
    <t>Electricity replacing ginning NG (kWh/m³)</t>
  </si>
  <si>
    <t>Back-calculated from original sheet: 158.5+3.4×10.5=194.2; 181.4+17.9×10.5=369.35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</si>
</sst>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0" borderId="0" xfId="0" applyFont="1"/>
    <xf numFmtId="2" fontId="4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164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2A5207-A74E-D944-86E5-39344A86CB34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  <we:property name="claude.fileId" value="&quot;e68cc168-12d6-4f1a-b722-7c5763f7f01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opLeftCell="E1" workbookViewId="0">
      <selection activeCell="O29" sqref="O29"/>
    </sheetView>
  </sheetViews>
  <sheetFormatPr baseColWidth="10" defaultColWidth="11.1640625" defaultRowHeight="15" customHeight="1" x14ac:dyDescent="0.2"/>
  <cols>
    <col min="1" max="1" width="14" customWidth="1"/>
    <col min="2" max="2" width="8.5" customWidth="1"/>
    <col min="3" max="3" width="8.83203125" customWidth="1"/>
    <col min="4" max="4" width="9.6640625" customWidth="1"/>
    <col min="5" max="5" width="10.83203125" customWidth="1"/>
    <col min="6" max="6" width="9.5" customWidth="1"/>
    <col min="7" max="7" width="16.5" customWidth="1"/>
    <col min="8" max="8" width="19.83203125" customWidth="1"/>
    <col min="9" max="9" width="10.1640625" customWidth="1"/>
    <col min="10" max="10" width="20.1640625" customWidth="1"/>
    <col min="11" max="11" width="20.33203125" customWidth="1"/>
    <col min="12" max="12" width="16.33203125" customWidth="1"/>
    <col min="13" max="13" width="25.83203125" customWidth="1"/>
    <col min="14" max="20" width="10.5" customWidth="1"/>
    <col min="21" max="21" width="14.6640625" bestFit="1" customWidth="1"/>
    <col min="22" max="26" width="10.5" customWidth="1"/>
  </cols>
  <sheetData>
    <row r="1" spans="1:21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6" t="s">
        <v>105</v>
      </c>
      <c r="Q1" s="6" t="s">
        <v>106</v>
      </c>
      <c r="R1" s="6" t="s">
        <v>107</v>
      </c>
      <c r="S1" s="6" t="s">
        <v>108</v>
      </c>
      <c r="U1" s="8" t="s">
        <v>121</v>
      </c>
    </row>
    <row r="2" spans="1:21" ht="15.75" customHeight="1" x14ac:dyDescent="0.2">
      <c r="A2" s="1" t="s">
        <v>15</v>
      </c>
      <c r="B2" s="1">
        <v>3.17</v>
      </c>
      <c r="C2" s="1">
        <v>0.28000000000000003</v>
      </c>
      <c r="D2" s="1">
        <v>39.840000000000003</v>
      </c>
      <c r="E2" s="1">
        <v>77.03</v>
      </c>
      <c r="F2" s="1">
        <v>1.59</v>
      </c>
      <c r="G2" s="1">
        <v>95.03</v>
      </c>
      <c r="H2" s="1">
        <f>33.7*$U$2</f>
        <v>27.768800000000002</v>
      </c>
      <c r="I2" s="1">
        <v>3</v>
      </c>
      <c r="J2" s="1">
        <v>111.78590699999999</v>
      </c>
      <c r="K2" s="1">
        <f>414.1*$U$2</f>
        <v>341.21839999999997</v>
      </c>
      <c r="L2">
        <v>617.90208799816173</v>
      </c>
      <c r="M2">
        <v>435.05927807898479</v>
      </c>
      <c r="N2">
        <v>611.26232508012617</v>
      </c>
      <c r="O2">
        <v>616.44432257440349</v>
      </c>
      <c r="P2" s="7">
        <v>3.4</v>
      </c>
      <c r="Q2" s="7">
        <v>17.899999999999999</v>
      </c>
      <c r="R2" s="2">
        <v>158.5</v>
      </c>
      <c r="S2" s="2">
        <v>181.4</v>
      </c>
      <c r="U2" s="10">
        <v>0.82399999999999995</v>
      </c>
    </row>
    <row r="3" spans="1:21" ht="15.75" customHeight="1" x14ac:dyDescent="0.2">
      <c r="A3" s="1" t="s">
        <v>16</v>
      </c>
      <c r="B3" s="1">
        <v>1.44</v>
      </c>
      <c r="C3" s="1">
        <v>0.18</v>
      </c>
      <c r="D3" s="1">
        <v>10.039999999999999</v>
      </c>
      <c r="E3" s="1">
        <v>1.1100000000000001</v>
      </c>
      <c r="F3" s="1">
        <v>0.36</v>
      </c>
      <c r="G3" s="1">
        <v>101.74</v>
      </c>
      <c r="H3" s="1">
        <f>95.6*$U$2</f>
        <v>78.774399999999986</v>
      </c>
      <c r="I3" s="1">
        <v>0.9</v>
      </c>
      <c r="J3" s="1">
        <v>7132.1243940000004</v>
      </c>
      <c r="K3" s="1">
        <f>1101.1*$U$2</f>
        <v>907.30639999999983</v>
      </c>
      <c r="L3">
        <v>4911.4717418470536</v>
      </c>
      <c r="M3">
        <v>6801.297242494009</v>
      </c>
      <c r="N3">
        <v>5708.262856870424</v>
      </c>
      <c r="O3">
        <v>6722.5369456873159</v>
      </c>
      <c r="P3" s="7">
        <v>3.4</v>
      </c>
      <c r="Q3" s="7">
        <v>17.899999999999999</v>
      </c>
      <c r="R3" s="2">
        <v>158.5</v>
      </c>
      <c r="S3" s="2">
        <v>181.4</v>
      </c>
    </row>
    <row r="4" spans="1:21" ht="15.75" customHeight="1" x14ac:dyDescent="0.2">
      <c r="A4" s="1" t="s">
        <v>17</v>
      </c>
      <c r="B4" s="1">
        <v>2.52</v>
      </c>
      <c r="C4" s="1">
        <v>1.2</v>
      </c>
      <c r="D4" s="1">
        <v>31.98</v>
      </c>
      <c r="E4" s="1">
        <v>60.66</v>
      </c>
      <c r="F4" s="1">
        <v>2.16</v>
      </c>
      <c r="G4" s="1">
        <v>102.31</v>
      </c>
      <c r="H4" s="1">
        <f>71*$U$2</f>
        <v>58.503999999999998</v>
      </c>
      <c r="I4" s="1">
        <v>3.2</v>
      </c>
      <c r="J4" s="1">
        <v>1435.741722</v>
      </c>
      <c r="K4" s="1">
        <f>490.4*$U$2</f>
        <v>404.08959999999996</v>
      </c>
      <c r="L4">
        <v>936.96795016305987</v>
      </c>
      <c r="M4">
        <v>932.71956328912347</v>
      </c>
      <c r="N4">
        <v>1131.1960101458969</v>
      </c>
      <c r="O4">
        <v>990.88711220725963</v>
      </c>
      <c r="P4" s="7">
        <v>3.4</v>
      </c>
      <c r="Q4" s="7">
        <v>17.899999999999999</v>
      </c>
      <c r="R4" s="2">
        <v>158.5</v>
      </c>
      <c r="S4" s="2">
        <v>181.4</v>
      </c>
    </row>
    <row r="5" spans="1:21" ht="15.75" customHeight="1" x14ac:dyDescent="0.2">
      <c r="A5" s="1" t="s">
        <v>18</v>
      </c>
      <c r="B5" s="1">
        <v>1.27</v>
      </c>
      <c r="C5" s="1">
        <v>0.47</v>
      </c>
      <c r="D5" s="1">
        <v>4.18</v>
      </c>
      <c r="E5" s="1">
        <v>8.4700000000000006</v>
      </c>
      <c r="F5" s="1">
        <v>1.29</v>
      </c>
      <c r="G5" s="1">
        <v>65.760000000000005</v>
      </c>
      <c r="H5" s="1">
        <f>94.9*$U$2</f>
        <v>78.197599999999994</v>
      </c>
      <c r="I5" s="1">
        <v>0.6</v>
      </c>
      <c r="J5" s="1">
        <v>5342.9180189999997</v>
      </c>
      <c r="K5" s="1">
        <f>574.3*$U$2</f>
        <v>473.22319999999996</v>
      </c>
      <c r="L5">
        <v>4027.391518812336</v>
      </c>
      <c r="M5">
        <v>4395.8007504584384</v>
      </c>
      <c r="N5">
        <v>4062.488674997207</v>
      </c>
      <c r="O5">
        <v>4402.8162198114442</v>
      </c>
      <c r="P5" s="7">
        <v>3.4</v>
      </c>
      <c r="Q5" s="7">
        <v>17.899999999999999</v>
      </c>
      <c r="R5" s="2">
        <v>158.5</v>
      </c>
      <c r="S5" s="2">
        <v>181.4</v>
      </c>
    </row>
    <row r="6" spans="1:21" ht="15.75" customHeight="1" x14ac:dyDescent="0.2">
      <c r="A6" s="3" t="s">
        <v>19</v>
      </c>
      <c r="B6" s="3">
        <v>3.9</v>
      </c>
      <c r="C6" s="3">
        <v>0.7</v>
      </c>
      <c r="D6" s="3">
        <v>30.96</v>
      </c>
      <c r="E6" s="3">
        <v>41.49</v>
      </c>
      <c r="F6" s="3">
        <v>1.46</v>
      </c>
      <c r="G6" s="3">
        <v>86.91</v>
      </c>
      <c r="H6" s="1">
        <f>110.2*$U$2</f>
        <v>90.8048</v>
      </c>
      <c r="I6" s="3">
        <v>2.7</v>
      </c>
      <c r="J6" s="1">
        <v>344.3548801</v>
      </c>
      <c r="K6" s="1">
        <f>463.1*$U$2</f>
        <v>381.59440000000001</v>
      </c>
      <c r="L6">
        <v>532.32319323319098</v>
      </c>
      <c r="M6">
        <v>514.97338188120921</v>
      </c>
      <c r="N6">
        <v>364.75032786293377</v>
      </c>
      <c r="O6">
        <v>375.19915485775709</v>
      </c>
      <c r="P6" s="7">
        <v>3.4</v>
      </c>
      <c r="Q6" s="7">
        <v>17.899999999999999</v>
      </c>
      <c r="R6" s="2">
        <v>158.5</v>
      </c>
      <c r="S6" s="2">
        <v>181.4</v>
      </c>
    </row>
    <row r="7" spans="1:21" ht="15.75" customHeight="1" x14ac:dyDescent="0.2">
      <c r="A7" s="1" t="s">
        <v>20</v>
      </c>
      <c r="B7" s="1">
        <v>2.78</v>
      </c>
      <c r="C7" s="1">
        <v>0.3</v>
      </c>
      <c r="D7" s="1">
        <v>44.54</v>
      </c>
      <c r="E7" s="1">
        <v>78.25</v>
      </c>
      <c r="F7" s="1">
        <v>1.61</v>
      </c>
      <c r="G7" s="1">
        <v>87.57</v>
      </c>
      <c r="H7" s="1">
        <f>56.4*$U$2</f>
        <v>46.473599999999998</v>
      </c>
      <c r="I7" s="1">
        <v>2.8</v>
      </c>
      <c r="J7" s="1">
        <v>446.11613549999998</v>
      </c>
      <c r="K7" s="1">
        <f>741.2*$U$2</f>
        <v>610.74879999999996</v>
      </c>
      <c r="L7">
        <v>457.79165730114619</v>
      </c>
      <c r="M7">
        <v>204.34856418583149</v>
      </c>
      <c r="N7">
        <v>447.44389503162893</v>
      </c>
      <c r="O7">
        <v>308.91435988826203</v>
      </c>
      <c r="P7" s="7">
        <v>3.4</v>
      </c>
      <c r="Q7" s="7">
        <v>17.899999999999999</v>
      </c>
      <c r="R7" s="2">
        <v>158.5</v>
      </c>
      <c r="S7" s="2">
        <v>181.4</v>
      </c>
    </row>
    <row r="8" spans="1:21" ht="15.75" customHeight="1" x14ac:dyDescent="0.2">
      <c r="A8" s="3" t="s">
        <v>21</v>
      </c>
      <c r="B8" s="3">
        <v>3.9</v>
      </c>
      <c r="C8" s="3">
        <v>0.7</v>
      </c>
      <c r="D8" s="3">
        <v>30.96</v>
      </c>
      <c r="E8" s="3">
        <v>41.49</v>
      </c>
      <c r="F8" s="3">
        <v>1.46</v>
      </c>
      <c r="G8" s="3">
        <v>86.91</v>
      </c>
      <c r="H8" s="1">
        <f>101.3*$U$2</f>
        <v>83.471199999999996</v>
      </c>
      <c r="I8" s="3">
        <v>0.8</v>
      </c>
      <c r="J8" s="1">
        <v>480.0945633</v>
      </c>
      <c r="K8" s="1">
        <f>1172.8*$U$2</f>
        <v>966.38719999999989</v>
      </c>
      <c r="L8">
        <v>709.02083375844813</v>
      </c>
      <c r="M8">
        <v>1292.908986224036</v>
      </c>
      <c r="N8">
        <v>1285.9128371693951</v>
      </c>
      <c r="O8">
        <v>1524.352098389689</v>
      </c>
      <c r="P8" s="7">
        <v>3.4</v>
      </c>
      <c r="Q8" s="7">
        <v>17.899999999999999</v>
      </c>
      <c r="R8" s="2">
        <v>158.5</v>
      </c>
      <c r="S8" s="2">
        <v>181.4</v>
      </c>
    </row>
    <row r="9" spans="1:21" ht="15.75" customHeight="1" x14ac:dyDescent="0.2">
      <c r="A9" s="1" t="s">
        <v>22</v>
      </c>
      <c r="B9" s="1">
        <v>3.82</v>
      </c>
      <c r="C9" s="1">
        <v>1.46</v>
      </c>
      <c r="D9" s="1">
        <v>34.159999999999997</v>
      </c>
      <c r="E9" s="1">
        <v>55.66</v>
      </c>
      <c r="F9" s="1">
        <v>1.74</v>
      </c>
      <c r="G9" s="1">
        <v>70.38</v>
      </c>
      <c r="H9" s="1">
        <f>82.4*$U$2</f>
        <v>67.897599999999997</v>
      </c>
      <c r="I9" s="1">
        <v>2.2000000000000002</v>
      </c>
      <c r="J9" s="1">
        <v>444.19465889999998</v>
      </c>
      <c r="K9" s="1">
        <f>523.5*$U$2</f>
        <v>431.36399999999998</v>
      </c>
      <c r="L9">
        <v>702.66213226947002</v>
      </c>
      <c r="M9">
        <v>647.40363333927235</v>
      </c>
      <c r="N9">
        <v>706.94023327316972</v>
      </c>
      <c r="O9">
        <v>688.79315391272394</v>
      </c>
      <c r="P9" s="7">
        <v>3.4</v>
      </c>
      <c r="Q9" s="7">
        <v>17.899999999999999</v>
      </c>
      <c r="R9" s="2">
        <v>158.5</v>
      </c>
      <c r="S9" s="2">
        <v>181.4</v>
      </c>
    </row>
    <row r="10" spans="1:21" ht="15.75" customHeight="1" x14ac:dyDescent="0.2">
      <c r="A10" s="1" t="s">
        <v>23</v>
      </c>
      <c r="B10" s="1">
        <v>3.29</v>
      </c>
      <c r="C10" s="1">
        <v>1.4</v>
      </c>
      <c r="D10" s="1">
        <v>19.98</v>
      </c>
      <c r="E10" s="1">
        <v>57.2</v>
      </c>
      <c r="F10" s="1">
        <v>1.52</v>
      </c>
      <c r="G10" s="1">
        <v>87.44</v>
      </c>
      <c r="H10" s="1">
        <f>77.5*$U$2</f>
        <v>63.86</v>
      </c>
      <c r="I10" s="1">
        <v>2.8</v>
      </c>
      <c r="J10" s="1">
        <v>463.4194554</v>
      </c>
      <c r="K10" s="1">
        <f>465.7*$U$2</f>
        <v>383.73679999999996</v>
      </c>
      <c r="L10">
        <v>961.52087009488605</v>
      </c>
      <c r="M10">
        <v>884.22390246875875</v>
      </c>
      <c r="N10">
        <v>913.33249984281429</v>
      </c>
      <c r="O10">
        <v>924.86940813461842</v>
      </c>
      <c r="P10" s="7">
        <v>3.4</v>
      </c>
      <c r="Q10" s="7">
        <v>17.899999999999999</v>
      </c>
      <c r="R10" s="2">
        <v>158.5</v>
      </c>
      <c r="S10" s="2">
        <v>181.4</v>
      </c>
    </row>
    <row r="11" spans="1:21" ht="15.75" customHeight="1" x14ac:dyDescent="0.2">
      <c r="A11" s="1" t="s">
        <v>24</v>
      </c>
      <c r="B11" s="1">
        <v>2.11</v>
      </c>
      <c r="C11" s="1">
        <v>0.91</v>
      </c>
      <c r="D11" s="1">
        <v>29.6</v>
      </c>
      <c r="E11" s="1">
        <v>48.89</v>
      </c>
      <c r="F11" s="1">
        <v>2.2599999999999998</v>
      </c>
      <c r="G11" s="1">
        <v>77.92</v>
      </c>
      <c r="H11" s="1">
        <f>93.8*$U$2</f>
        <v>77.291199999999989</v>
      </c>
      <c r="I11" s="1">
        <v>2.5</v>
      </c>
      <c r="J11" s="1">
        <v>651.56859310000004</v>
      </c>
      <c r="K11" s="1">
        <f>746.2*$U$2</f>
        <v>614.86879999999996</v>
      </c>
      <c r="L11">
        <v>656.77067647613876</v>
      </c>
      <c r="M11">
        <v>677.06836183334235</v>
      </c>
      <c r="N11">
        <v>992.13113154531311</v>
      </c>
      <c r="O11">
        <v>821.15706827038957</v>
      </c>
      <c r="P11" s="7">
        <v>3.4</v>
      </c>
      <c r="Q11" s="7">
        <v>17.899999999999999</v>
      </c>
      <c r="R11" s="2">
        <v>158.5</v>
      </c>
      <c r="S11" s="2">
        <v>181.4</v>
      </c>
    </row>
    <row r="12" spans="1:21" ht="15.75" customHeight="1" x14ac:dyDescent="0.2">
      <c r="A12" s="3" t="s">
        <v>25</v>
      </c>
      <c r="B12" s="3">
        <v>3.9</v>
      </c>
      <c r="C12" s="3">
        <v>0.7</v>
      </c>
      <c r="D12" s="3">
        <v>30.96</v>
      </c>
      <c r="E12" s="3">
        <v>41.49</v>
      </c>
      <c r="F12" s="3">
        <v>1.46</v>
      </c>
      <c r="G12" s="3">
        <v>86.91</v>
      </c>
      <c r="H12" s="4">
        <f>199.9*$U$2</f>
        <v>164.7176</v>
      </c>
      <c r="I12" s="3">
        <v>0.8</v>
      </c>
      <c r="J12" s="1">
        <v>3962.1672739999999</v>
      </c>
      <c r="K12" s="1">
        <f>2082.1*$U$2</f>
        <v>1715.6503999999998</v>
      </c>
      <c r="L12">
        <v>3415.0784385179868</v>
      </c>
      <c r="M12">
        <v>5630.5468344183764</v>
      </c>
      <c r="N12">
        <v>4532.31895694579</v>
      </c>
      <c r="O12">
        <v>6276.775597968488</v>
      </c>
      <c r="P12" s="7">
        <v>3.4</v>
      </c>
      <c r="Q12" s="7">
        <v>17.899999999999999</v>
      </c>
      <c r="R12" s="2">
        <v>158.5</v>
      </c>
      <c r="S12" s="2">
        <v>181.4</v>
      </c>
    </row>
    <row r="13" spans="1:21" ht="15.75" customHeight="1" x14ac:dyDescent="0.2">
      <c r="A13" s="1" t="s">
        <v>26</v>
      </c>
      <c r="B13" s="1">
        <v>3.3</v>
      </c>
      <c r="C13" s="1">
        <v>0.56999999999999995</v>
      </c>
      <c r="D13" s="1">
        <v>21.92</v>
      </c>
      <c r="E13" s="1">
        <v>72.02</v>
      </c>
      <c r="F13" s="1">
        <v>1.48</v>
      </c>
      <c r="G13" s="1">
        <v>74.650000000000006</v>
      </c>
      <c r="H13" s="1">
        <f>75.5*$U$2</f>
        <v>62.211999999999996</v>
      </c>
      <c r="I13" s="1">
        <v>2.4</v>
      </c>
      <c r="J13" s="1">
        <v>28.744973170000002</v>
      </c>
      <c r="K13" s="1">
        <f>994.9*$U$2</f>
        <v>819.79759999999999</v>
      </c>
      <c r="L13">
        <v>467.71058231519049</v>
      </c>
      <c r="M13">
        <v>319.65048461098189</v>
      </c>
      <c r="N13">
        <v>278.40785333126769</v>
      </c>
      <c r="O13">
        <v>107.04585558443431</v>
      </c>
      <c r="P13" s="7">
        <v>3.4</v>
      </c>
      <c r="Q13" s="7">
        <v>17.899999999999999</v>
      </c>
      <c r="R13" s="2">
        <v>158.5</v>
      </c>
      <c r="S13" s="2">
        <v>181.4</v>
      </c>
    </row>
    <row r="14" spans="1:21" ht="15.75" customHeight="1" x14ac:dyDescent="0.2">
      <c r="A14" s="1" t="s">
        <v>27</v>
      </c>
      <c r="B14" s="1">
        <v>6.5</v>
      </c>
      <c r="C14" s="1">
        <v>0.64</v>
      </c>
      <c r="D14" s="1">
        <v>38.49</v>
      </c>
      <c r="E14" s="1">
        <v>9.36</v>
      </c>
      <c r="F14" s="1">
        <v>1.99</v>
      </c>
      <c r="G14" s="1">
        <v>123.54</v>
      </c>
      <c r="H14" s="1">
        <f>114.3*$U$2</f>
        <v>94.183199999999999</v>
      </c>
      <c r="I14" s="1">
        <v>1.1000000000000001</v>
      </c>
      <c r="J14" s="1">
        <v>1351.2463729999999</v>
      </c>
      <c r="K14" s="1">
        <f>1214.6*$U$2</f>
        <v>1000.8303999999998</v>
      </c>
      <c r="L14">
        <v>815.04714619294828</v>
      </c>
      <c r="M14">
        <v>1132.457943558067</v>
      </c>
      <c r="N14">
        <v>792.99675516100251</v>
      </c>
      <c r="O14">
        <v>1269.671680786545</v>
      </c>
      <c r="P14" s="7">
        <v>3.4</v>
      </c>
      <c r="Q14" s="7">
        <v>17.899999999999999</v>
      </c>
      <c r="R14" s="2">
        <v>158.5</v>
      </c>
      <c r="S14" s="2">
        <v>181.4</v>
      </c>
    </row>
    <row r="15" spans="1:21" ht="15.75" customHeight="1" x14ac:dyDescent="0.2">
      <c r="A15" s="1" t="s">
        <v>28</v>
      </c>
      <c r="B15" s="1">
        <v>3.98</v>
      </c>
      <c r="C15" s="1">
        <v>0.3</v>
      </c>
      <c r="D15" s="1">
        <v>29.31</v>
      </c>
      <c r="E15" s="1">
        <v>106.56</v>
      </c>
      <c r="F15" s="1">
        <v>2.4700000000000002</v>
      </c>
      <c r="G15" s="1">
        <v>97.59</v>
      </c>
      <c r="H15" s="1">
        <f>65.2*$U$2</f>
        <v>53.724800000000002</v>
      </c>
      <c r="I15" s="1">
        <v>3.1</v>
      </c>
      <c r="J15" s="1">
        <v>194.26795910000001</v>
      </c>
      <c r="K15" s="1">
        <f>729.8*$U$2</f>
        <v>601.35519999999997</v>
      </c>
      <c r="L15">
        <v>611.85880872204143</v>
      </c>
      <c r="M15">
        <v>301.5604184727672</v>
      </c>
      <c r="N15">
        <v>543.94202937249065</v>
      </c>
      <c r="O15">
        <v>308.61104343197439</v>
      </c>
      <c r="P15" s="7">
        <v>3.4</v>
      </c>
      <c r="Q15" s="7">
        <v>17.899999999999999</v>
      </c>
      <c r="R15" s="2">
        <v>158.5</v>
      </c>
      <c r="S15" s="2">
        <v>181.4</v>
      </c>
    </row>
    <row r="16" spans="1:21" ht="15.75" customHeight="1" x14ac:dyDescent="0.2">
      <c r="A16" s="1" t="s">
        <v>29</v>
      </c>
      <c r="B16" s="1">
        <v>3.05</v>
      </c>
      <c r="C16" s="1">
        <v>0.69</v>
      </c>
      <c r="D16" s="1">
        <v>37.85</v>
      </c>
      <c r="E16" s="1">
        <v>68.56</v>
      </c>
      <c r="F16" s="1">
        <v>1.4</v>
      </c>
      <c r="G16" s="1">
        <v>72.66</v>
      </c>
      <c r="H16" s="1">
        <f>26.1*$U$2</f>
        <v>21.506399999999999</v>
      </c>
      <c r="I16" s="1">
        <v>2.2999999999999998</v>
      </c>
      <c r="J16" s="1">
        <v>101.94390180000001</v>
      </c>
      <c r="K16" s="1">
        <f>423.7*$U$2</f>
        <v>349.12879999999996</v>
      </c>
      <c r="L16">
        <v>520.8475474064544</v>
      </c>
      <c r="M16">
        <v>572.48404065494833</v>
      </c>
      <c r="N16">
        <v>511.60373231184712</v>
      </c>
      <c r="O16">
        <v>467.95312542788821</v>
      </c>
      <c r="P16" s="7">
        <v>3.4</v>
      </c>
      <c r="Q16" s="7">
        <v>17.899999999999999</v>
      </c>
      <c r="R16" s="2">
        <v>158.5</v>
      </c>
      <c r="S16" s="2">
        <v>181.4</v>
      </c>
    </row>
    <row r="17" spans="1:19" ht="15.75" customHeight="1" x14ac:dyDescent="0.2">
      <c r="A17" s="1" t="s">
        <v>30</v>
      </c>
      <c r="B17" s="1">
        <v>5.7</v>
      </c>
      <c r="C17" s="1">
        <v>0.65</v>
      </c>
      <c r="D17" s="1">
        <v>30.67</v>
      </c>
      <c r="E17" s="1">
        <v>4.79</v>
      </c>
      <c r="F17" s="1">
        <v>1.01</v>
      </c>
      <c r="G17" s="1">
        <v>85.68</v>
      </c>
      <c r="H17" s="1">
        <f>189.2*$U$2</f>
        <v>155.90079999999998</v>
      </c>
      <c r="I17" s="1">
        <v>0.7</v>
      </c>
      <c r="J17" s="1">
        <v>2998.2512889999998</v>
      </c>
      <c r="K17" s="1">
        <f>1191.7*$U$2</f>
        <v>981.96079999999995</v>
      </c>
      <c r="L17">
        <v>828.81903393639368</v>
      </c>
      <c r="M17">
        <v>1815.121855094985</v>
      </c>
      <c r="N17">
        <v>643.15604128773703</v>
      </c>
      <c r="O17">
        <v>2366.1579189578192</v>
      </c>
      <c r="P17" s="7">
        <v>3.4</v>
      </c>
      <c r="Q17" s="7">
        <v>17.899999999999999</v>
      </c>
      <c r="R17" s="2">
        <v>158.5</v>
      </c>
      <c r="S17" s="2">
        <v>181.4</v>
      </c>
    </row>
    <row r="18" spans="1:19" ht="15.75" customHeight="1" x14ac:dyDescent="0.2">
      <c r="A18" s="3" t="s">
        <v>31</v>
      </c>
      <c r="B18" s="3">
        <v>3.9</v>
      </c>
      <c r="C18" s="3">
        <v>0.7</v>
      </c>
      <c r="D18" s="3">
        <v>30.96</v>
      </c>
      <c r="E18" s="3">
        <v>41.49</v>
      </c>
      <c r="F18" s="3">
        <v>1.46</v>
      </c>
      <c r="G18" s="3">
        <v>86.91</v>
      </c>
      <c r="H18" s="4">
        <f>48.7*$U$2</f>
        <v>40.128799999999998</v>
      </c>
      <c r="I18" s="3">
        <v>2.7</v>
      </c>
      <c r="J18" s="1">
        <v>1.7033495139999999</v>
      </c>
      <c r="K18" s="1">
        <f>677.9*$U$2</f>
        <v>558.5895999999999</v>
      </c>
      <c r="L18">
        <v>198.6789278634478</v>
      </c>
      <c r="M18">
        <v>289.62432591506882</v>
      </c>
      <c r="N18">
        <v>83.498431845107916</v>
      </c>
      <c r="O18">
        <v>15.68102631263014</v>
      </c>
      <c r="P18" s="7">
        <v>3.4</v>
      </c>
      <c r="Q18" s="7">
        <v>17.899999999999999</v>
      </c>
      <c r="R18" s="2">
        <v>158.5</v>
      </c>
      <c r="S18" s="2">
        <v>181.4</v>
      </c>
    </row>
    <row r="19" spans="1:19" ht="15.75" customHeight="1" x14ac:dyDescent="0.2"/>
    <row r="20" spans="1:19" ht="15.75" customHeight="1" x14ac:dyDescent="0.2"/>
    <row r="21" spans="1:19" ht="15.75" customHeight="1" x14ac:dyDescent="0.2"/>
    <row r="22" spans="1:19" ht="15.75" customHeight="1" x14ac:dyDescent="0.2"/>
    <row r="23" spans="1:19" ht="15.75" customHeight="1" x14ac:dyDescent="0.2"/>
    <row r="24" spans="1:19" ht="15.75" customHeight="1" x14ac:dyDescent="0.2"/>
    <row r="25" spans="1:19" ht="15.75" customHeight="1" x14ac:dyDescent="0.2"/>
    <row r="26" spans="1:19" ht="15.75" customHeight="1" x14ac:dyDescent="0.2"/>
    <row r="27" spans="1:19" ht="15.75" customHeight="1" x14ac:dyDescent="0.2"/>
    <row r="28" spans="1:19" ht="15.75" customHeight="1" x14ac:dyDescent="0.2"/>
    <row r="29" spans="1:19" ht="15.75" customHeight="1" x14ac:dyDescent="0.2"/>
    <row r="30" spans="1:19" ht="15.75" customHeight="1" x14ac:dyDescent="0.2"/>
    <row r="31" spans="1:19" ht="15.75" customHeight="1" x14ac:dyDescent="0.2"/>
    <row r="32" spans="1:1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tabSelected="1" workbookViewId="0">
      <selection activeCell="I12" sqref="I12"/>
    </sheetView>
  </sheetViews>
  <sheetFormatPr baseColWidth="10" defaultColWidth="11.1640625" defaultRowHeight="15" customHeight="1" x14ac:dyDescent="0.2"/>
  <cols>
    <col min="1" max="1" width="14" customWidth="1"/>
    <col min="2" max="2" width="8.5" customWidth="1"/>
    <col min="3" max="3" width="8.83203125" customWidth="1"/>
    <col min="4" max="4" width="9.6640625" customWidth="1"/>
    <col min="5" max="5" width="10.83203125" customWidth="1"/>
    <col min="6" max="6" width="9.5" customWidth="1"/>
    <col min="7" max="7" width="16.5" customWidth="1"/>
    <col min="8" max="8" width="19.83203125" customWidth="1"/>
    <col min="9" max="9" width="10.1640625" customWidth="1"/>
    <col min="10" max="11" width="20.1640625" customWidth="1"/>
    <col min="12" max="12" width="25.6640625" customWidth="1"/>
    <col min="13" max="13" width="25.83203125" customWidth="1"/>
    <col min="14" max="20" width="10.5" customWidth="1"/>
    <col min="21" max="21" width="35.5" bestFit="1" customWidth="1"/>
    <col min="22" max="22" width="5.83203125" bestFit="1" customWidth="1"/>
    <col min="23" max="23" width="72" bestFit="1" customWidth="1"/>
    <col min="24" max="26" width="10.5" customWidth="1"/>
  </cols>
  <sheetData>
    <row r="1" spans="1:23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6" t="s">
        <v>105</v>
      </c>
      <c r="Q1" s="6" t="s">
        <v>106</v>
      </c>
      <c r="R1" s="6" t="s">
        <v>107</v>
      </c>
      <c r="S1" s="6" t="s">
        <v>108</v>
      </c>
      <c r="U1" s="8" t="s">
        <v>122</v>
      </c>
      <c r="V1" s="8" t="s">
        <v>123</v>
      </c>
    </row>
    <row r="2" spans="1:23" ht="15.75" customHeight="1" x14ac:dyDescent="0.2">
      <c r="A2" s="1" t="str">
        <f>Input_Data!A2</f>
        <v>Alabama</v>
      </c>
      <c r="B2" s="1">
        <f>Input_Data!B2</f>
        <v>3.17</v>
      </c>
      <c r="C2" s="1">
        <f>Input_Data!C2</f>
        <v>0.28000000000000003</v>
      </c>
      <c r="D2" s="1">
        <f>Input_Data!D2</f>
        <v>39.840000000000003</v>
      </c>
      <c r="E2" s="1">
        <f>Input_Data!E2</f>
        <v>77.03</v>
      </c>
      <c r="F2" s="1">
        <f>Input_Data!F2</f>
        <v>1.59</v>
      </c>
      <c r="G2" s="1">
        <f>Input_Data!G2</f>
        <v>95.03</v>
      </c>
      <c r="H2" s="1">
        <f>0</f>
        <v>0</v>
      </c>
      <c r="I2" s="1">
        <f>Input_Data!I2</f>
        <v>3</v>
      </c>
      <c r="J2" s="1">
        <f>Input_Data!J2</f>
        <v>111.78590699999999</v>
      </c>
      <c r="K2" s="1">
        <f>Input_Data!K2+Input_Data!H2*$V$2</f>
        <v>463.40111999999999</v>
      </c>
      <c r="L2" s="2">
        <f>Input_Data!L2</f>
        <v>617.90208799816173</v>
      </c>
      <c r="M2" s="2">
        <f>Input_Data!M2</f>
        <v>435.05927807898479</v>
      </c>
      <c r="N2" s="2">
        <f>Input_Data!N2</f>
        <v>611.26232508012617</v>
      </c>
      <c r="O2" s="2">
        <f>Input_Data!O2</f>
        <v>616.44432257440349</v>
      </c>
      <c r="P2" s="2">
        <f>0</f>
        <v>0</v>
      </c>
      <c r="Q2">
        <f>0</f>
        <v>0</v>
      </c>
      <c r="R2" s="2">
        <f>Input_Data!R2+Input_Data!P2*$V$3</f>
        <v>194.2</v>
      </c>
      <c r="S2" s="2">
        <f>Input_Data!S2+Input_Data!Q2*$V$3</f>
        <v>369.35</v>
      </c>
      <c r="U2" t="s">
        <v>124</v>
      </c>
      <c r="V2" s="9">
        <v>4.4000000000000004</v>
      </c>
    </row>
    <row r="3" spans="1:23" ht="15.75" customHeight="1" x14ac:dyDescent="0.2">
      <c r="A3" s="1" t="str">
        <f>Input_Data!A3</f>
        <v>Arizona</v>
      </c>
      <c r="B3" s="1">
        <f>Input_Data!B3</f>
        <v>1.44</v>
      </c>
      <c r="C3" s="1">
        <f>Input_Data!C3</f>
        <v>0.18</v>
      </c>
      <c r="D3" s="1">
        <f>Input_Data!D3</f>
        <v>10.039999999999999</v>
      </c>
      <c r="E3" s="1">
        <f>Input_Data!E3</f>
        <v>1.1100000000000001</v>
      </c>
      <c r="F3" s="1">
        <f>Input_Data!F3</f>
        <v>0.36</v>
      </c>
      <c r="G3" s="1">
        <f>Input_Data!G3</f>
        <v>101.74</v>
      </c>
      <c r="H3" s="1">
        <f>0</f>
        <v>0</v>
      </c>
      <c r="I3" s="1">
        <f>Input_Data!I3</f>
        <v>0.9</v>
      </c>
      <c r="J3" s="1">
        <f>Input_Data!J3</f>
        <v>7132.1243940000004</v>
      </c>
      <c r="K3" s="1">
        <f>Input_Data!K3+Input_Data!H3*$V$2</f>
        <v>1253.9137599999999</v>
      </c>
      <c r="L3" s="2">
        <f>Input_Data!L3</f>
        <v>4911.4717418470536</v>
      </c>
      <c r="M3" s="2">
        <f>Input_Data!M3</f>
        <v>6801.297242494009</v>
      </c>
      <c r="N3" s="2">
        <f>Input_Data!N3</f>
        <v>5708.262856870424</v>
      </c>
      <c r="O3" s="2">
        <f>Input_Data!O3</f>
        <v>6722.5369456873159</v>
      </c>
      <c r="P3" s="2">
        <f>0</f>
        <v>0</v>
      </c>
      <c r="Q3">
        <f>0</f>
        <v>0</v>
      </c>
      <c r="R3" s="2">
        <f>Input_Data!R3+Input_Data!P3*$V$3</f>
        <v>194.2</v>
      </c>
      <c r="S3" s="2">
        <f>Input_Data!S3+Input_Data!Q3*$V$3</f>
        <v>369.35</v>
      </c>
      <c r="U3" t="s">
        <v>125</v>
      </c>
      <c r="V3" s="9">
        <v>10.5</v>
      </c>
      <c r="W3" t="s">
        <v>126</v>
      </c>
    </row>
    <row r="4" spans="1:23" ht="15.75" customHeight="1" x14ac:dyDescent="0.2">
      <c r="A4" s="1" t="str">
        <f>Input_Data!A4</f>
        <v>Arkansas</v>
      </c>
      <c r="B4" s="1">
        <f>Input_Data!B4</f>
        <v>2.52</v>
      </c>
      <c r="C4" s="1">
        <f>Input_Data!C4</f>
        <v>1.2</v>
      </c>
      <c r="D4" s="1">
        <f>Input_Data!D4</f>
        <v>31.98</v>
      </c>
      <c r="E4" s="1">
        <f>Input_Data!E4</f>
        <v>60.66</v>
      </c>
      <c r="F4" s="1">
        <f>Input_Data!F4</f>
        <v>2.16</v>
      </c>
      <c r="G4" s="1">
        <f>Input_Data!G4</f>
        <v>102.31</v>
      </c>
      <c r="H4" s="1">
        <f>0</f>
        <v>0</v>
      </c>
      <c r="I4" s="1">
        <f>Input_Data!I4</f>
        <v>3.2</v>
      </c>
      <c r="J4" s="1">
        <f>Input_Data!J4</f>
        <v>1435.741722</v>
      </c>
      <c r="K4" s="1">
        <f>Input_Data!K4+Input_Data!H4*$V$2</f>
        <v>661.50720000000001</v>
      </c>
      <c r="L4" s="2">
        <f>Input_Data!L4</f>
        <v>936.96795016305987</v>
      </c>
      <c r="M4" s="2">
        <f>Input_Data!M4</f>
        <v>932.71956328912347</v>
      </c>
      <c r="N4" s="2">
        <f>Input_Data!N4</f>
        <v>1131.1960101458969</v>
      </c>
      <c r="O4" s="2">
        <f>Input_Data!O4</f>
        <v>990.88711220725963</v>
      </c>
      <c r="P4" s="2">
        <f>0</f>
        <v>0</v>
      </c>
      <c r="Q4">
        <f>0</f>
        <v>0</v>
      </c>
      <c r="R4" s="2">
        <f>Input_Data!R4+Input_Data!P4*$V$3</f>
        <v>194.2</v>
      </c>
      <c r="S4" s="2">
        <f>Input_Data!S4+Input_Data!Q4*$V$3</f>
        <v>369.35</v>
      </c>
    </row>
    <row r="5" spans="1:23" ht="15.75" customHeight="1" x14ac:dyDescent="0.2">
      <c r="A5" s="1" t="str">
        <f>Input_Data!A5</f>
        <v>California</v>
      </c>
      <c r="B5" s="1">
        <f>Input_Data!B5</f>
        <v>1.27</v>
      </c>
      <c r="C5" s="1">
        <f>Input_Data!C5</f>
        <v>0.47</v>
      </c>
      <c r="D5" s="1">
        <f>Input_Data!D5</f>
        <v>4.18</v>
      </c>
      <c r="E5" s="1">
        <f>Input_Data!E5</f>
        <v>8.4700000000000006</v>
      </c>
      <c r="F5" s="1">
        <f>Input_Data!F5</f>
        <v>1.29</v>
      </c>
      <c r="G5" s="1">
        <f>Input_Data!G5</f>
        <v>65.760000000000005</v>
      </c>
      <c r="H5" s="1">
        <f>0</f>
        <v>0</v>
      </c>
      <c r="I5" s="1">
        <f>Input_Data!I5</f>
        <v>0.6</v>
      </c>
      <c r="J5" s="1">
        <f>Input_Data!J5</f>
        <v>5342.9180189999997</v>
      </c>
      <c r="K5" s="1">
        <f>Input_Data!K5+Input_Data!H5*$V$2</f>
        <v>817.29263999999989</v>
      </c>
      <c r="L5" s="2">
        <f>Input_Data!L5</f>
        <v>4027.391518812336</v>
      </c>
      <c r="M5" s="2">
        <f>Input_Data!M5</f>
        <v>4395.8007504584384</v>
      </c>
      <c r="N5" s="2">
        <f>Input_Data!N5</f>
        <v>4062.488674997207</v>
      </c>
      <c r="O5" s="2">
        <f>Input_Data!O5</f>
        <v>4402.8162198114442</v>
      </c>
      <c r="P5" s="2">
        <f>0</f>
        <v>0</v>
      </c>
      <c r="Q5">
        <f>0</f>
        <v>0</v>
      </c>
      <c r="R5" s="2">
        <f>Input_Data!R5+Input_Data!P5*$V$3</f>
        <v>194.2</v>
      </c>
      <c r="S5" s="2">
        <f>Input_Data!S5+Input_Data!Q5*$V$3</f>
        <v>369.35</v>
      </c>
    </row>
    <row r="6" spans="1:23" ht="15.75" customHeight="1" x14ac:dyDescent="0.2">
      <c r="A6" s="3" t="str">
        <f>Input_Data!A6</f>
        <v>Florida</v>
      </c>
      <c r="B6" s="3">
        <f>Input_Data!B6</f>
        <v>3.9</v>
      </c>
      <c r="C6" s="3">
        <f>Input_Data!C6</f>
        <v>0.7</v>
      </c>
      <c r="D6" s="3">
        <f>Input_Data!D6</f>
        <v>30.96</v>
      </c>
      <c r="E6" s="3">
        <f>Input_Data!E6</f>
        <v>41.49</v>
      </c>
      <c r="F6" s="3">
        <f>Input_Data!F6</f>
        <v>1.46</v>
      </c>
      <c r="G6" s="3">
        <f>Input_Data!G6</f>
        <v>86.91</v>
      </c>
      <c r="H6" s="1">
        <f>0</f>
        <v>0</v>
      </c>
      <c r="I6" s="3">
        <f>Input_Data!I6</f>
        <v>2.7</v>
      </c>
      <c r="J6" s="1">
        <f>Input_Data!J6</f>
        <v>344.3548801</v>
      </c>
      <c r="K6" s="1">
        <f>Input_Data!K6+Input_Data!H6*$V$2</f>
        <v>781.13552000000004</v>
      </c>
      <c r="L6" s="2">
        <f>Input_Data!L6</f>
        <v>532.32319323319098</v>
      </c>
      <c r="M6" s="2">
        <f>Input_Data!M6</f>
        <v>514.97338188120921</v>
      </c>
      <c r="N6" s="2">
        <f>Input_Data!N6</f>
        <v>364.75032786293377</v>
      </c>
      <c r="O6" s="2">
        <f>Input_Data!O6</f>
        <v>375.19915485775709</v>
      </c>
      <c r="P6" s="2">
        <f>0</f>
        <v>0</v>
      </c>
      <c r="Q6">
        <f>0</f>
        <v>0</v>
      </c>
      <c r="R6" s="2">
        <f>Input_Data!R6+Input_Data!P6*$V$3</f>
        <v>194.2</v>
      </c>
      <c r="S6" s="2">
        <f>Input_Data!S6+Input_Data!Q6*$V$3</f>
        <v>369.35</v>
      </c>
    </row>
    <row r="7" spans="1:23" ht="15.75" customHeight="1" x14ac:dyDescent="0.2">
      <c r="A7" s="1" t="str">
        <f>Input_Data!A7</f>
        <v>Georgia</v>
      </c>
      <c r="B7" s="1">
        <f>Input_Data!B7</f>
        <v>2.78</v>
      </c>
      <c r="C7" s="1">
        <f>Input_Data!C7</f>
        <v>0.3</v>
      </c>
      <c r="D7" s="1">
        <f>Input_Data!D7</f>
        <v>44.54</v>
      </c>
      <c r="E7" s="1">
        <f>Input_Data!E7</f>
        <v>78.25</v>
      </c>
      <c r="F7" s="1">
        <f>Input_Data!F7</f>
        <v>1.61</v>
      </c>
      <c r="G7" s="1">
        <f>Input_Data!G7</f>
        <v>87.57</v>
      </c>
      <c r="H7" s="1">
        <f>0</f>
        <v>0</v>
      </c>
      <c r="I7" s="1">
        <f>Input_Data!I7</f>
        <v>2.8</v>
      </c>
      <c r="J7" s="1">
        <f>Input_Data!J7</f>
        <v>446.11613549999998</v>
      </c>
      <c r="K7" s="1">
        <f>Input_Data!K7+Input_Data!H7*$V$2</f>
        <v>815.23263999999995</v>
      </c>
      <c r="L7" s="2">
        <f>Input_Data!L7</f>
        <v>457.79165730114619</v>
      </c>
      <c r="M7" s="2">
        <f>Input_Data!M7</f>
        <v>204.34856418583149</v>
      </c>
      <c r="N7" s="2">
        <f>Input_Data!N7</f>
        <v>447.44389503162893</v>
      </c>
      <c r="O7" s="2">
        <f>Input_Data!O7</f>
        <v>308.91435988826203</v>
      </c>
      <c r="P7" s="2">
        <f>0</f>
        <v>0</v>
      </c>
      <c r="Q7">
        <f>0</f>
        <v>0</v>
      </c>
      <c r="R7" s="2">
        <f>Input_Data!R7+Input_Data!P7*$V$3</f>
        <v>194.2</v>
      </c>
      <c r="S7" s="2">
        <f>Input_Data!S7+Input_Data!Q7*$V$3</f>
        <v>369.35</v>
      </c>
    </row>
    <row r="8" spans="1:23" ht="15.75" customHeight="1" x14ac:dyDescent="0.2">
      <c r="A8" s="3" t="str">
        <f>Input_Data!A8</f>
        <v>Kansas</v>
      </c>
      <c r="B8" s="3">
        <f>Input_Data!B8</f>
        <v>3.9</v>
      </c>
      <c r="C8" s="3">
        <f>Input_Data!C8</f>
        <v>0.7</v>
      </c>
      <c r="D8" s="3">
        <f>Input_Data!D8</f>
        <v>30.96</v>
      </c>
      <c r="E8" s="3">
        <f>Input_Data!E8</f>
        <v>41.49</v>
      </c>
      <c r="F8" s="3">
        <f>Input_Data!F8</f>
        <v>1.46</v>
      </c>
      <c r="G8" s="3">
        <f>Input_Data!G8</f>
        <v>86.91</v>
      </c>
      <c r="H8" s="1">
        <f>0</f>
        <v>0</v>
      </c>
      <c r="I8" s="3">
        <f>Input_Data!I8</f>
        <v>0.8</v>
      </c>
      <c r="J8" s="1">
        <f>Input_Data!J8</f>
        <v>480.0945633</v>
      </c>
      <c r="K8" s="1">
        <f>Input_Data!K8+Input_Data!H8*$V$2</f>
        <v>1333.66048</v>
      </c>
      <c r="L8" s="2">
        <f>Input_Data!L8</f>
        <v>709.02083375844813</v>
      </c>
      <c r="M8" s="2">
        <f>Input_Data!M8</f>
        <v>1292.908986224036</v>
      </c>
      <c r="N8" s="2">
        <f>Input_Data!N8</f>
        <v>1285.9128371693951</v>
      </c>
      <c r="O8" s="2">
        <f>Input_Data!O8</f>
        <v>1524.352098389689</v>
      </c>
      <c r="P8" s="2">
        <f>0</f>
        <v>0</v>
      </c>
      <c r="Q8">
        <f>0</f>
        <v>0</v>
      </c>
      <c r="R8" s="2">
        <f>Input_Data!R8+Input_Data!P8*$V$3</f>
        <v>194.2</v>
      </c>
      <c r="S8" s="2">
        <f>Input_Data!S8+Input_Data!Q8*$V$3</f>
        <v>369.35</v>
      </c>
    </row>
    <row r="9" spans="1:23" ht="15.75" customHeight="1" x14ac:dyDescent="0.2">
      <c r="A9" s="1" t="str">
        <f>Input_Data!A9</f>
        <v>Louisiana</v>
      </c>
      <c r="B9" s="1">
        <f>Input_Data!B9</f>
        <v>3.82</v>
      </c>
      <c r="C9" s="1">
        <f>Input_Data!C9</f>
        <v>1.46</v>
      </c>
      <c r="D9" s="1">
        <f>Input_Data!D9</f>
        <v>34.159999999999997</v>
      </c>
      <c r="E9" s="1">
        <f>Input_Data!E9</f>
        <v>55.66</v>
      </c>
      <c r="F9" s="1">
        <f>Input_Data!F9</f>
        <v>1.74</v>
      </c>
      <c r="G9" s="1">
        <f>Input_Data!G9</f>
        <v>70.38</v>
      </c>
      <c r="H9" s="1">
        <f>0</f>
        <v>0</v>
      </c>
      <c r="I9" s="1">
        <f>Input_Data!I9</f>
        <v>2.2000000000000002</v>
      </c>
      <c r="J9" s="1">
        <f>Input_Data!J9</f>
        <v>444.19465889999998</v>
      </c>
      <c r="K9" s="1">
        <f>Input_Data!K9+Input_Data!H9*$V$2</f>
        <v>730.11343999999997</v>
      </c>
      <c r="L9" s="2">
        <f>Input_Data!L9</f>
        <v>702.66213226947002</v>
      </c>
      <c r="M9" s="2">
        <f>Input_Data!M9</f>
        <v>647.40363333927235</v>
      </c>
      <c r="N9" s="2">
        <f>Input_Data!N9</f>
        <v>706.94023327316972</v>
      </c>
      <c r="O9" s="2">
        <f>Input_Data!O9</f>
        <v>688.79315391272394</v>
      </c>
      <c r="P9" s="2">
        <f>0</f>
        <v>0</v>
      </c>
      <c r="Q9">
        <f>0</f>
        <v>0</v>
      </c>
      <c r="R9" s="2">
        <f>Input_Data!R9+Input_Data!P9*$V$3</f>
        <v>194.2</v>
      </c>
      <c r="S9" s="2">
        <f>Input_Data!S9+Input_Data!Q9*$V$3</f>
        <v>369.35</v>
      </c>
    </row>
    <row r="10" spans="1:23" ht="15.75" customHeight="1" x14ac:dyDescent="0.2">
      <c r="A10" s="1" t="str">
        <f>Input_Data!A10</f>
        <v>Mississippi</v>
      </c>
      <c r="B10" s="1">
        <f>Input_Data!B10</f>
        <v>3.29</v>
      </c>
      <c r="C10" s="1">
        <f>Input_Data!C10</f>
        <v>1.4</v>
      </c>
      <c r="D10" s="1">
        <f>Input_Data!D10</f>
        <v>19.98</v>
      </c>
      <c r="E10" s="1">
        <f>Input_Data!E10</f>
        <v>57.2</v>
      </c>
      <c r="F10" s="1">
        <f>Input_Data!F10</f>
        <v>1.52</v>
      </c>
      <c r="G10" s="1">
        <f>Input_Data!G10</f>
        <v>87.44</v>
      </c>
      <c r="H10" s="1">
        <f>0</f>
        <v>0</v>
      </c>
      <c r="I10" s="1">
        <f>Input_Data!I10</f>
        <v>2.8</v>
      </c>
      <c r="J10" s="1">
        <f>Input_Data!J10</f>
        <v>463.4194554</v>
      </c>
      <c r="K10" s="1">
        <f>Input_Data!K10+Input_Data!H10*$V$2</f>
        <v>664.72080000000005</v>
      </c>
      <c r="L10" s="2">
        <f>Input_Data!L10</f>
        <v>961.52087009488605</v>
      </c>
      <c r="M10" s="2">
        <f>Input_Data!M10</f>
        <v>884.22390246875875</v>
      </c>
      <c r="N10" s="2">
        <f>Input_Data!N10</f>
        <v>913.33249984281429</v>
      </c>
      <c r="O10" s="2">
        <f>Input_Data!O10</f>
        <v>924.86940813461842</v>
      </c>
      <c r="P10" s="2">
        <f>0</f>
        <v>0</v>
      </c>
      <c r="Q10">
        <f>0</f>
        <v>0</v>
      </c>
      <c r="R10" s="2">
        <f>Input_Data!R10+Input_Data!P10*$V$3</f>
        <v>194.2</v>
      </c>
      <c r="S10" s="2">
        <f>Input_Data!S10+Input_Data!Q10*$V$3</f>
        <v>369.35</v>
      </c>
    </row>
    <row r="11" spans="1:23" ht="15.75" customHeight="1" x14ac:dyDescent="0.2">
      <c r="A11" s="1" t="str">
        <f>Input_Data!A11</f>
        <v>Missouri</v>
      </c>
      <c r="B11" s="1">
        <f>Input_Data!B11</f>
        <v>2.11</v>
      </c>
      <c r="C11" s="1">
        <f>Input_Data!C11</f>
        <v>0.91</v>
      </c>
      <c r="D11" s="1">
        <f>Input_Data!D11</f>
        <v>29.6</v>
      </c>
      <c r="E11" s="1">
        <f>Input_Data!E11</f>
        <v>48.89</v>
      </c>
      <c r="F11" s="1">
        <f>Input_Data!F11</f>
        <v>2.2599999999999998</v>
      </c>
      <c r="G11" s="1">
        <f>Input_Data!G11</f>
        <v>77.92</v>
      </c>
      <c r="H11" s="1">
        <f>0</f>
        <v>0</v>
      </c>
      <c r="I11" s="1">
        <f>Input_Data!I11</f>
        <v>2.5</v>
      </c>
      <c r="J11" s="1">
        <f>Input_Data!J11</f>
        <v>651.56859310000004</v>
      </c>
      <c r="K11" s="1">
        <f>Input_Data!K11+Input_Data!H11*$V$2</f>
        <v>954.95007999999996</v>
      </c>
      <c r="L11" s="2">
        <f>Input_Data!L11</f>
        <v>656.77067647613876</v>
      </c>
      <c r="M11" s="2">
        <f>Input_Data!M11</f>
        <v>677.06836183334235</v>
      </c>
      <c r="N11" s="2">
        <f>Input_Data!N11</f>
        <v>992.13113154531311</v>
      </c>
      <c r="O11" s="2">
        <f>Input_Data!O11</f>
        <v>821.15706827038957</v>
      </c>
      <c r="P11" s="2">
        <f>0</f>
        <v>0</v>
      </c>
      <c r="Q11">
        <f>0</f>
        <v>0</v>
      </c>
      <c r="R11" s="2">
        <f>Input_Data!R11+Input_Data!P11*$V$3</f>
        <v>194.2</v>
      </c>
      <c r="S11" s="2">
        <f>Input_Data!S11+Input_Data!Q11*$V$3</f>
        <v>369.35</v>
      </c>
    </row>
    <row r="12" spans="1:23" ht="15.75" customHeight="1" x14ac:dyDescent="0.2">
      <c r="A12" s="3" t="str">
        <f>Input_Data!A12</f>
        <v>New Mexico</v>
      </c>
      <c r="B12" s="3">
        <f>Input_Data!B12</f>
        <v>3.9</v>
      </c>
      <c r="C12" s="3">
        <f>Input_Data!C12</f>
        <v>0.7</v>
      </c>
      <c r="D12" s="3">
        <f>Input_Data!D12</f>
        <v>30.96</v>
      </c>
      <c r="E12" s="3">
        <f>Input_Data!E12</f>
        <v>41.49</v>
      </c>
      <c r="F12" s="3">
        <f>Input_Data!F12</f>
        <v>1.46</v>
      </c>
      <c r="G12" s="3">
        <f>Input_Data!G12</f>
        <v>86.91</v>
      </c>
      <c r="H12" s="4">
        <f>0</f>
        <v>0</v>
      </c>
      <c r="I12" s="3">
        <f>Input_Data!I12</f>
        <v>0.8</v>
      </c>
      <c r="J12" s="1">
        <f>Input_Data!J12</f>
        <v>3962.1672739999999</v>
      </c>
      <c r="K12" s="1">
        <f>Input_Data!K12+Input_Data!H12*$V$2</f>
        <v>2440.4078399999999</v>
      </c>
      <c r="L12" s="2">
        <f>Input_Data!L12</f>
        <v>3415.0784385179868</v>
      </c>
      <c r="M12" s="2">
        <f>Input_Data!M12</f>
        <v>5630.5468344183764</v>
      </c>
      <c r="N12" s="2">
        <f>Input_Data!N12</f>
        <v>4532.31895694579</v>
      </c>
      <c r="O12" s="2">
        <f>Input_Data!O12</f>
        <v>6276.775597968488</v>
      </c>
      <c r="P12" s="2">
        <f>0</f>
        <v>0</v>
      </c>
      <c r="Q12">
        <f>0</f>
        <v>0</v>
      </c>
      <c r="R12" s="2">
        <f>Input_Data!R12+Input_Data!P12*$V$3</f>
        <v>194.2</v>
      </c>
      <c r="S12" s="2">
        <f>Input_Data!S12+Input_Data!Q12*$V$3</f>
        <v>369.35</v>
      </c>
    </row>
    <row r="13" spans="1:23" ht="15.75" customHeight="1" x14ac:dyDescent="0.2">
      <c r="A13" s="1" t="str">
        <f>Input_Data!A13</f>
        <v>North Carolina</v>
      </c>
      <c r="B13" s="1">
        <f>Input_Data!B13</f>
        <v>3.3</v>
      </c>
      <c r="C13" s="1">
        <f>Input_Data!C13</f>
        <v>0.56999999999999995</v>
      </c>
      <c r="D13" s="1">
        <f>Input_Data!D13</f>
        <v>21.92</v>
      </c>
      <c r="E13" s="1">
        <f>Input_Data!E13</f>
        <v>72.02</v>
      </c>
      <c r="F13" s="1">
        <f>Input_Data!F13</f>
        <v>1.48</v>
      </c>
      <c r="G13" s="1">
        <f>Input_Data!G13</f>
        <v>74.650000000000006</v>
      </c>
      <c r="H13" s="1">
        <f>0</f>
        <v>0</v>
      </c>
      <c r="I13" s="1">
        <f>Input_Data!I13</f>
        <v>2.4</v>
      </c>
      <c r="J13" s="1">
        <f>Input_Data!J13</f>
        <v>28.744973170000002</v>
      </c>
      <c r="K13" s="1">
        <f>Input_Data!K13+Input_Data!H13*$V$2</f>
        <v>1093.5304000000001</v>
      </c>
      <c r="L13" s="2">
        <f>Input_Data!L13</f>
        <v>467.71058231519049</v>
      </c>
      <c r="M13" s="2">
        <f>Input_Data!M13</f>
        <v>319.65048461098189</v>
      </c>
      <c r="N13" s="2">
        <f>Input_Data!N13</f>
        <v>278.40785333126769</v>
      </c>
      <c r="O13" s="2">
        <f>Input_Data!O13</f>
        <v>107.04585558443431</v>
      </c>
      <c r="P13" s="2">
        <f>0</f>
        <v>0</v>
      </c>
      <c r="Q13">
        <f>0</f>
        <v>0</v>
      </c>
      <c r="R13" s="2">
        <f>Input_Data!R13+Input_Data!P13*$V$3</f>
        <v>194.2</v>
      </c>
      <c r="S13" s="2">
        <f>Input_Data!S13+Input_Data!Q13*$V$3</f>
        <v>369.35</v>
      </c>
    </row>
    <row r="14" spans="1:23" ht="15.75" customHeight="1" x14ac:dyDescent="0.2">
      <c r="A14" s="1" t="str">
        <f>Input_Data!A14</f>
        <v>Oklahoma</v>
      </c>
      <c r="B14" s="1">
        <f>Input_Data!B14</f>
        <v>6.5</v>
      </c>
      <c r="C14" s="1">
        <f>Input_Data!C14</f>
        <v>0.64</v>
      </c>
      <c r="D14" s="1">
        <f>Input_Data!D14</f>
        <v>38.49</v>
      </c>
      <c r="E14" s="1">
        <f>Input_Data!E14</f>
        <v>9.36</v>
      </c>
      <c r="F14" s="1">
        <f>Input_Data!F14</f>
        <v>1.99</v>
      </c>
      <c r="G14" s="1">
        <f>Input_Data!G14</f>
        <v>123.54</v>
      </c>
      <c r="H14" s="1">
        <f>0</f>
        <v>0</v>
      </c>
      <c r="I14" s="1">
        <f>Input_Data!I14</f>
        <v>1.1000000000000001</v>
      </c>
      <c r="J14" s="1">
        <f>Input_Data!J14</f>
        <v>1351.2463729999999</v>
      </c>
      <c r="K14" s="1">
        <f>Input_Data!K14+Input_Data!H14*$V$2</f>
        <v>1415.2364799999998</v>
      </c>
      <c r="L14" s="2">
        <f>Input_Data!L14</f>
        <v>815.04714619294828</v>
      </c>
      <c r="M14" s="2">
        <f>Input_Data!M14</f>
        <v>1132.457943558067</v>
      </c>
      <c r="N14" s="2">
        <f>Input_Data!N14</f>
        <v>792.99675516100251</v>
      </c>
      <c r="O14" s="2">
        <f>Input_Data!O14</f>
        <v>1269.671680786545</v>
      </c>
      <c r="P14" s="2">
        <f>0</f>
        <v>0</v>
      </c>
      <c r="Q14">
        <f>0</f>
        <v>0</v>
      </c>
      <c r="R14" s="2">
        <f>Input_Data!R14+Input_Data!P14*$V$3</f>
        <v>194.2</v>
      </c>
      <c r="S14" s="2">
        <f>Input_Data!S14+Input_Data!Q14*$V$3</f>
        <v>369.35</v>
      </c>
    </row>
    <row r="15" spans="1:23" ht="15.75" customHeight="1" x14ac:dyDescent="0.2">
      <c r="A15" s="1" t="str">
        <f>Input_Data!A15</f>
        <v>South Carolina</v>
      </c>
      <c r="B15" s="1">
        <f>Input_Data!B15</f>
        <v>3.98</v>
      </c>
      <c r="C15" s="1">
        <f>Input_Data!C15</f>
        <v>0.3</v>
      </c>
      <c r="D15" s="1">
        <f>Input_Data!D15</f>
        <v>29.31</v>
      </c>
      <c r="E15" s="1">
        <f>Input_Data!E15</f>
        <v>106.56</v>
      </c>
      <c r="F15" s="1">
        <f>Input_Data!F15</f>
        <v>2.4700000000000002</v>
      </c>
      <c r="G15" s="1">
        <f>Input_Data!G15</f>
        <v>97.59</v>
      </c>
      <c r="H15" s="1">
        <f>0</f>
        <v>0</v>
      </c>
      <c r="I15" s="1">
        <f>Input_Data!I15</f>
        <v>3.1</v>
      </c>
      <c r="J15" s="1">
        <f>Input_Data!J15</f>
        <v>194.26795910000001</v>
      </c>
      <c r="K15" s="1">
        <f>Input_Data!K15+Input_Data!H15*$V$2</f>
        <v>837.74432000000002</v>
      </c>
      <c r="L15" s="2">
        <f>Input_Data!L15</f>
        <v>611.85880872204143</v>
      </c>
      <c r="M15" s="2">
        <f>Input_Data!M15</f>
        <v>301.5604184727672</v>
      </c>
      <c r="N15" s="2">
        <f>Input_Data!N15</f>
        <v>543.94202937249065</v>
      </c>
      <c r="O15" s="2">
        <f>Input_Data!O15</f>
        <v>308.61104343197439</v>
      </c>
      <c r="P15" s="2">
        <f>0</f>
        <v>0</v>
      </c>
      <c r="Q15">
        <f>0</f>
        <v>0</v>
      </c>
      <c r="R15" s="2">
        <f>Input_Data!R15+Input_Data!P15*$V$3</f>
        <v>194.2</v>
      </c>
      <c r="S15" s="2">
        <f>Input_Data!S15+Input_Data!Q15*$V$3</f>
        <v>369.35</v>
      </c>
    </row>
    <row r="16" spans="1:23" ht="15.75" customHeight="1" x14ac:dyDescent="0.2">
      <c r="A16" s="1" t="str">
        <f>Input_Data!A16</f>
        <v>Tennessee</v>
      </c>
      <c r="B16" s="1">
        <f>Input_Data!B16</f>
        <v>3.05</v>
      </c>
      <c r="C16" s="1">
        <f>Input_Data!C16</f>
        <v>0.69</v>
      </c>
      <c r="D16" s="1">
        <f>Input_Data!D16</f>
        <v>37.85</v>
      </c>
      <c r="E16" s="1">
        <f>Input_Data!E16</f>
        <v>68.56</v>
      </c>
      <c r="F16" s="1">
        <f>Input_Data!F16</f>
        <v>1.4</v>
      </c>
      <c r="G16" s="1">
        <f>Input_Data!G16</f>
        <v>72.66</v>
      </c>
      <c r="H16" s="1">
        <f>0</f>
        <v>0</v>
      </c>
      <c r="I16" s="1">
        <f>Input_Data!I16</f>
        <v>2.2999999999999998</v>
      </c>
      <c r="J16" s="1">
        <f>Input_Data!J16</f>
        <v>101.94390180000001</v>
      </c>
      <c r="K16" s="1">
        <f>Input_Data!K16+Input_Data!H16*$V$2</f>
        <v>443.75695999999994</v>
      </c>
      <c r="L16" s="2">
        <f>Input_Data!L16</f>
        <v>520.8475474064544</v>
      </c>
      <c r="M16" s="2">
        <f>Input_Data!M16</f>
        <v>572.48404065494833</v>
      </c>
      <c r="N16" s="2">
        <f>Input_Data!N16</f>
        <v>511.60373231184712</v>
      </c>
      <c r="O16" s="2">
        <f>Input_Data!O16</f>
        <v>467.95312542788821</v>
      </c>
      <c r="P16" s="2">
        <f>0</f>
        <v>0</v>
      </c>
      <c r="Q16">
        <f>0</f>
        <v>0</v>
      </c>
      <c r="R16" s="2">
        <f>Input_Data!R16+Input_Data!P16*$V$3</f>
        <v>194.2</v>
      </c>
      <c r="S16" s="2">
        <f>Input_Data!S16+Input_Data!Q16*$V$3</f>
        <v>369.35</v>
      </c>
    </row>
    <row r="17" spans="1:19" ht="15.75" customHeight="1" x14ac:dyDescent="0.2">
      <c r="A17" s="1" t="str">
        <f>Input_Data!A17</f>
        <v>Texas</v>
      </c>
      <c r="B17" s="1">
        <f>Input_Data!B17</f>
        <v>5.7</v>
      </c>
      <c r="C17" s="1">
        <f>Input_Data!C17</f>
        <v>0.65</v>
      </c>
      <c r="D17" s="1">
        <f>Input_Data!D17</f>
        <v>30.67</v>
      </c>
      <c r="E17" s="1">
        <f>Input_Data!E17</f>
        <v>4.79</v>
      </c>
      <c r="F17" s="1">
        <f>Input_Data!F17</f>
        <v>1.01</v>
      </c>
      <c r="G17" s="1">
        <f>Input_Data!G17</f>
        <v>85.68</v>
      </c>
      <c r="H17" s="1">
        <f>0</f>
        <v>0</v>
      </c>
      <c r="I17" s="1">
        <f>Input_Data!I17</f>
        <v>0.7</v>
      </c>
      <c r="J17" s="1">
        <f>Input_Data!J17</f>
        <v>2998.2512889999998</v>
      </c>
      <c r="K17" s="1">
        <f>Input_Data!K17+Input_Data!H17*$V$2</f>
        <v>1667.9243199999999</v>
      </c>
      <c r="L17" s="2">
        <f>Input_Data!L17</f>
        <v>828.81903393639368</v>
      </c>
      <c r="M17" s="2">
        <f>Input_Data!M17</f>
        <v>1815.121855094985</v>
      </c>
      <c r="N17" s="2">
        <f>Input_Data!N17</f>
        <v>643.15604128773703</v>
      </c>
      <c r="O17" s="2">
        <f>Input_Data!O17</f>
        <v>2366.1579189578192</v>
      </c>
      <c r="P17" s="2">
        <f>0</f>
        <v>0</v>
      </c>
      <c r="Q17">
        <f>0</f>
        <v>0</v>
      </c>
      <c r="R17" s="2">
        <f>Input_Data!R17+Input_Data!P17*$V$3</f>
        <v>194.2</v>
      </c>
      <c r="S17" s="2">
        <f>Input_Data!S17+Input_Data!Q17*$V$3</f>
        <v>369.35</v>
      </c>
    </row>
    <row r="18" spans="1:19" ht="15.75" customHeight="1" x14ac:dyDescent="0.2">
      <c r="A18" s="3" t="str">
        <f>Input_Data!A18</f>
        <v>Virginia</v>
      </c>
      <c r="B18" s="3">
        <f>Input_Data!B18</f>
        <v>3.9</v>
      </c>
      <c r="C18" s="3">
        <f>Input_Data!C18</f>
        <v>0.7</v>
      </c>
      <c r="D18" s="3">
        <f>Input_Data!D18</f>
        <v>30.96</v>
      </c>
      <c r="E18" s="3">
        <f>Input_Data!E18</f>
        <v>41.49</v>
      </c>
      <c r="F18" s="3">
        <f>Input_Data!F18</f>
        <v>1.46</v>
      </c>
      <c r="G18" s="3">
        <f>Input_Data!G18</f>
        <v>86.91</v>
      </c>
      <c r="H18" s="4">
        <f>0</f>
        <v>0</v>
      </c>
      <c r="I18" s="3">
        <f>Input_Data!I18</f>
        <v>2.7</v>
      </c>
      <c r="J18" s="1">
        <f>Input_Data!J18</f>
        <v>1.7033495139999999</v>
      </c>
      <c r="K18" s="1">
        <f>Input_Data!K18+Input_Data!H18*$V$2</f>
        <v>735.15631999999994</v>
      </c>
      <c r="L18" s="2">
        <f>Input_Data!L18</f>
        <v>198.6789278634478</v>
      </c>
      <c r="M18" s="2">
        <f>Input_Data!M18</f>
        <v>289.62432591506882</v>
      </c>
      <c r="N18" s="2">
        <f>Input_Data!N18</f>
        <v>83.498431845107916</v>
      </c>
      <c r="O18" s="2">
        <f>Input_Data!O18</f>
        <v>15.68102631263014</v>
      </c>
      <c r="P18" s="2">
        <f>0</f>
        <v>0</v>
      </c>
      <c r="Q18">
        <f>0</f>
        <v>0</v>
      </c>
      <c r="R18" s="2">
        <f>Input_Data!R18+Input_Data!P18*$V$3</f>
        <v>194.2</v>
      </c>
      <c r="S18" s="2">
        <f>Input_Data!S18+Input_Data!Q18*$V$3</f>
        <v>369.35</v>
      </c>
    </row>
    <row r="19" spans="1:19" ht="15.75" customHeight="1" x14ac:dyDescent="0.2"/>
    <row r="20" spans="1:19" ht="15.75" customHeight="1" x14ac:dyDescent="0.2"/>
    <row r="21" spans="1:19" ht="15.75" customHeight="1" x14ac:dyDescent="0.2"/>
    <row r="22" spans="1:19" ht="15.75" customHeight="1" x14ac:dyDescent="0.2"/>
    <row r="23" spans="1:19" ht="15.75" customHeight="1" x14ac:dyDescent="0.2"/>
    <row r="24" spans="1:19" ht="15.75" customHeight="1" x14ac:dyDescent="0.2"/>
    <row r="25" spans="1:19" ht="15.75" customHeight="1" x14ac:dyDescent="0.2"/>
    <row r="26" spans="1:19" ht="15.75" customHeight="1" x14ac:dyDescent="0.2"/>
    <row r="27" spans="1:19" ht="15.75" customHeight="1" x14ac:dyDescent="0.2"/>
    <row r="28" spans="1:19" ht="15.75" customHeight="1" x14ac:dyDescent="0.2"/>
    <row r="29" spans="1:19" ht="15.75" customHeight="1" x14ac:dyDescent="0.2"/>
    <row r="30" spans="1:19" ht="15.75" customHeight="1" x14ac:dyDescent="0.2"/>
    <row r="31" spans="1:19" ht="15.75" customHeight="1" x14ac:dyDescent="0.2"/>
    <row r="32" spans="1:1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activeCell="D22" sqref="D22"/>
    </sheetView>
  </sheetViews>
  <sheetFormatPr baseColWidth="10" defaultColWidth="11.1640625" defaultRowHeight="15" customHeight="1" x14ac:dyDescent="0.2"/>
  <cols>
    <col min="1" max="1" width="22" customWidth="1"/>
    <col min="2" max="2" width="9" customWidth="1"/>
    <col min="3" max="3" width="19" customWidth="1"/>
    <col min="4" max="4" width="20.5" customWidth="1"/>
    <col min="5" max="5" width="15.83203125" customWidth="1"/>
    <col min="6" max="6" width="34.5" customWidth="1"/>
    <col min="7" max="26" width="10.5" customWidth="1"/>
  </cols>
  <sheetData>
    <row r="1" spans="1:6" ht="15.75" customHeight="1" x14ac:dyDescent="0.2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 ht="15.75" customHeight="1" x14ac:dyDescent="0.2">
      <c r="A2" s="1" t="s">
        <v>38</v>
      </c>
      <c r="B2" s="1" t="s">
        <v>39</v>
      </c>
      <c r="C2" s="1">
        <v>24.51</v>
      </c>
      <c r="D2" s="1">
        <v>395</v>
      </c>
      <c r="E2" s="1">
        <v>67.739999999999995</v>
      </c>
      <c r="F2" s="1" t="s">
        <v>40</v>
      </c>
    </row>
    <row r="3" spans="1:6" ht="15.75" customHeight="1" x14ac:dyDescent="0.2">
      <c r="A3" s="1" t="s">
        <v>41</v>
      </c>
      <c r="B3" s="1" t="s">
        <v>39</v>
      </c>
      <c r="C3" s="1">
        <v>20.9</v>
      </c>
      <c r="D3" s="1">
        <v>307</v>
      </c>
      <c r="E3" s="1">
        <v>38.909999999999997</v>
      </c>
      <c r="F3" s="1" t="s">
        <v>42</v>
      </c>
    </row>
    <row r="4" spans="1:6" ht="15.75" customHeight="1" x14ac:dyDescent="0.2">
      <c r="A4" s="1" t="s">
        <v>43</v>
      </c>
      <c r="B4" s="1" t="s">
        <v>39</v>
      </c>
      <c r="C4" s="1">
        <v>1.1499999999999999</v>
      </c>
      <c r="D4" s="1">
        <v>17</v>
      </c>
      <c r="E4" s="1">
        <v>36.81</v>
      </c>
      <c r="F4" s="1" t="s">
        <v>44</v>
      </c>
    </row>
    <row r="5" spans="1:6" ht="15.75" customHeight="1" x14ac:dyDescent="0.2">
      <c r="A5" s="1" t="s">
        <v>45</v>
      </c>
      <c r="B5" s="1" t="s">
        <v>39</v>
      </c>
      <c r="C5" s="1">
        <v>0.31</v>
      </c>
      <c r="D5" s="1">
        <v>7.13</v>
      </c>
      <c r="E5" s="1">
        <v>9.89</v>
      </c>
      <c r="F5" s="1" t="s">
        <v>46</v>
      </c>
    </row>
    <row r="6" spans="1:6" ht="15.75" customHeight="1" x14ac:dyDescent="0.2">
      <c r="A6" s="1" t="s">
        <v>47</v>
      </c>
      <c r="B6" s="1" t="s">
        <v>39</v>
      </c>
      <c r="C6" s="1">
        <f>9.49/1000</f>
        <v>9.4900000000000002E-3</v>
      </c>
      <c r="D6" s="1">
        <v>0.12</v>
      </c>
      <c r="E6" s="1">
        <v>0.11</v>
      </c>
      <c r="F6" s="1" t="s">
        <v>48</v>
      </c>
    </row>
    <row r="7" spans="1:6" ht="15.75" customHeight="1" x14ac:dyDescent="0.2">
      <c r="A7" s="1" t="s">
        <v>49</v>
      </c>
      <c r="B7" s="1" t="s">
        <v>50</v>
      </c>
      <c r="C7" s="1">
        <v>3.5</v>
      </c>
      <c r="D7" s="1">
        <v>55</v>
      </c>
      <c r="E7" s="1">
        <v>15.35</v>
      </c>
      <c r="F7" s="1" t="s">
        <v>51</v>
      </c>
    </row>
    <row r="8" spans="1:6" ht="15.75" customHeight="1" x14ac:dyDescent="0.2">
      <c r="A8" s="1" t="s">
        <v>52</v>
      </c>
      <c r="B8" s="1" t="s">
        <v>53</v>
      </c>
      <c r="C8" s="1">
        <v>3.21</v>
      </c>
      <c r="D8" s="1">
        <v>42</v>
      </c>
      <c r="E8" s="1">
        <v>3</v>
      </c>
      <c r="F8" s="1" t="s">
        <v>54</v>
      </c>
    </row>
    <row r="9" spans="1:6" ht="15.75" customHeight="1" x14ac:dyDescent="0.2">
      <c r="A9" s="1" t="s">
        <v>55</v>
      </c>
      <c r="B9" s="1" t="s">
        <v>56</v>
      </c>
      <c r="C9" s="1">
        <v>273</v>
      </c>
      <c r="D9" s="1">
        <v>0</v>
      </c>
      <c r="E9" s="1">
        <v>0</v>
      </c>
      <c r="F9" s="1" t="s">
        <v>57</v>
      </c>
    </row>
    <row r="10" spans="1:6" ht="15.75" customHeight="1" x14ac:dyDescent="0.2">
      <c r="A10" s="1" t="s">
        <v>58</v>
      </c>
      <c r="B10" s="1" t="s">
        <v>59</v>
      </c>
      <c r="C10" s="1">
        <v>0</v>
      </c>
      <c r="D10" s="1">
        <v>0</v>
      </c>
      <c r="E10" s="1">
        <v>1000</v>
      </c>
      <c r="F10" s="1" t="s">
        <v>60</v>
      </c>
    </row>
    <row r="11" spans="1:6" ht="15.75" customHeight="1" x14ac:dyDescent="0.2">
      <c r="A11" s="6" t="s">
        <v>103</v>
      </c>
      <c r="B11" s="6" t="s">
        <v>59</v>
      </c>
      <c r="C11" s="6">
        <v>0.3478</v>
      </c>
      <c r="D11" s="6">
        <v>38</v>
      </c>
      <c r="E11" s="6">
        <v>0.4148</v>
      </c>
      <c r="F11" s="6" t="s">
        <v>104</v>
      </c>
    </row>
    <row r="12" spans="1:6" ht="15.75" customHeight="1" x14ac:dyDescent="0.2"/>
    <row r="13" spans="1:6" ht="15.75" customHeight="1" x14ac:dyDescent="0.2"/>
    <row r="14" spans="1:6" ht="15.75" customHeight="1" x14ac:dyDescent="0.2"/>
    <row r="15" spans="1:6" ht="15.75" customHeight="1" x14ac:dyDescent="0.2"/>
    <row r="16" spans="1: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baseColWidth="10" defaultColWidth="11.1640625" defaultRowHeight="15" customHeight="1" x14ac:dyDescent="0.2"/>
  <cols>
    <col min="1" max="1" width="14.6640625" customWidth="1"/>
    <col min="2" max="2" width="27.1640625" customWidth="1"/>
    <col min="3" max="3" width="26" customWidth="1"/>
    <col min="4" max="4" width="28.6640625" customWidth="1"/>
    <col min="5" max="26" width="10.5" customWidth="1"/>
  </cols>
  <sheetData>
    <row r="1" spans="1:4" ht="15.75" customHeight="1" x14ac:dyDescent="0.2">
      <c r="A1" s="1" t="s">
        <v>0</v>
      </c>
      <c r="B1" s="1" t="s">
        <v>61</v>
      </c>
      <c r="C1" s="1" t="s">
        <v>62</v>
      </c>
      <c r="D1" s="1" t="s">
        <v>63</v>
      </c>
    </row>
    <row r="2" spans="1:4" ht="15.75" customHeight="1" x14ac:dyDescent="0.2">
      <c r="A2" s="1" t="s">
        <v>15</v>
      </c>
      <c r="B2" s="1">
        <v>0.43</v>
      </c>
      <c r="C2" s="5">
        <v>7.3886633230000003</v>
      </c>
      <c r="D2" s="5">
        <v>2.445365459</v>
      </c>
    </row>
    <row r="3" spans="1:4" ht="15.75" customHeight="1" x14ac:dyDescent="0.2">
      <c r="A3" s="1" t="s">
        <v>16</v>
      </c>
      <c r="B3" s="1">
        <v>0.48</v>
      </c>
      <c r="C3" s="5">
        <v>7.4259280719999996</v>
      </c>
      <c r="D3" s="5">
        <v>2.4503764800000001</v>
      </c>
    </row>
    <row r="4" spans="1:4" ht="15.75" customHeight="1" x14ac:dyDescent="0.2">
      <c r="A4" s="1" t="s">
        <v>17</v>
      </c>
      <c r="B4" s="1">
        <v>0.6</v>
      </c>
      <c r="C4" s="5">
        <v>8.3764450129999997</v>
      </c>
      <c r="D4" s="5">
        <v>2.2429615279999999</v>
      </c>
    </row>
    <row r="5" spans="1:4" ht="15.75" customHeight="1" x14ac:dyDescent="0.2">
      <c r="A5" s="1" t="s">
        <v>18</v>
      </c>
      <c r="B5" s="1">
        <v>0.25</v>
      </c>
      <c r="C5" s="5">
        <v>6.3351809469999996</v>
      </c>
      <c r="D5" s="5">
        <v>4.4799563239999998</v>
      </c>
    </row>
    <row r="6" spans="1:4" ht="15.75" customHeight="1" x14ac:dyDescent="0.2">
      <c r="A6" s="1" t="s">
        <v>19</v>
      </c>
      <c r="B6" s="1">
        <v>0.53</v>
      </c>
      <c r="C6" s="5">
        <v>8.5650473950000006</v>
      </c>
      <c r="D6" s="5">
        <v>1.074902805</v>
      </c>
    </row>
    <row r="7" spans="1:4" ht="15.75" customHeight="1" x14ac:dyDescent="0.2">
      <c r="A7" s="1" t="s">
        <v>20</v>
      </c>
      <c r="B7" s="1">
        <v>0.49</v>
      </c>
      <c r="C7" s="5">
        <v>7.8413090390000004</v>
      </c>
      <c r="D7" s="5">
        <v>1.6088865290000001</v>
      </c>
    </row>
    <row r="8" spans="1:4" ht="15.75" customHeight="1" x14ac:dyDescent="0.2">
      <c r="A8" s="1" t="s">
        <v>21</v>
      </c>
      <c r="B8" s="1">
        <v>0.47</v>
      </c>
      <c r="C8" s="5">
        <v>7.1565860030000001</v>
      </c>
      <c r="D8" s="5">
        <v>1.0929321489999999</v>
      </c>
    </row>
    <row r="9" spans="1:4" ht="15.75" customHeight="1" x14ac:dyDescent="0.2">
      <c r="A9" s="1" t="s">
        <v>22</v>
      </c>
      <c r="B9" s="1">
        <v>0.57999999999999996</v>
      </c>
      <c r="C9" s="5">
        <v>9.2084258370000001</v>
      </c>
      <c r="D9" s="5">
        <v>1.31526393</v>
      </c>
    </row>
    <row r="10" spans="1:4" ht="15.75" customHeight="1" x14ac:dyDescent="0.2">
      <c r="A10" s="1" t="s">
        <v>23</v>
      </c>
      <c r="B10" s="1">
        <v>0.5</v>
      </c>
      <c r="C10" s="5">
        <v>8.3881492479999995</v>
      </c>
      <c r="D10" s="5">
        <v>0.98288340669999996</v>
      </c>
    </row>
    <row r="11" spans="1:4" ht="15.75" customHeight="1" x14ac:dyDescent="0.2">
      <c r="A11" s="1" t="s">
        <v>24</v>
      </c>
      <c r="B11" s="1">
        <v>0.9</v>
      </c>
      <c r="C11" s="5">
        <v>9.8678089880000002</v>
      </c>
      <c r="D11" s="5">
        <v>1.9105422599999999</v>
      </c>
    </row>
    <row r="12" spans="1:4" ht="15.75" customHeight="1" x14ac:dyDescent="0.2">
      <c r="A12" s="1" t="s">
        <v>25</v>
      </c>
      <c r="B12" s="1">
        <v>0.79</v>
      </c>
      <c r="C12" s="5">
        <v>9.6205009720000003</v>
      </c>
      <c r="D12" s="5">
        <v>1.317885676</v>
      </c>
    </row>
    <row r="13" spans="1:4" ht="15.75" customHeight="1" x14ac:dyDescent="0.2">
      <c r="A13" s="1" t="s">
        <v>26</v>
      </c>
      <c r="B13" s="1">
        <v>0.44</v>
      </c>
      <c r="C13" s="5">
        <v>7.2730207120000001</v>
      </c>
      <c r="D13" s="5">
        <v>1.846238458</v>
      </c>
    </row>
    <row r="14" spans="1:4" ht="15.75" customHeight="1" x14ac:dyDescent="0.2">
      <c r="A14" s="1" t="s">
        <v>27</v>
      </c>
      <c r="B14" s="1">
        <v>0.49</v>
      </c>
      <c r="C14" s="5">
        <v>7.6991908420000001</v>
      </c>
      <c r="D14" s="5">
        <v>1.2372185659999999</v>
      </c>
    </row>
    <row r="15" spans="1:4" ht="15.75" customHeight="1" x14ac:dyDescent="0.2">
      <c r="A15" s="1" t="s">
        <v>28</v>
      </c>
      <c r="B15" s="1">
        <v>0.32</v>
      </c>
      <c r="C15" s="5">
        <v>6.5200217699999996</v>
      </c>
      <c r="D15" s="5">
        <v>1.903658563</v>
      </c>
    </row>
    <row r="16" spans="1:4" ht="15.75" customHeight="1" x14ac:dyDescent="0.2">
      <c r="A16" s="1" t="s">
        <v>29</v>
      </c>
      <c r="B16" s="1">
        <v>0.46</v>
      </c>
      <c r="C16" s="5">
        <v>7.2384288400000001</v>
      </c>
      <c r="D16" s="5">
        <v>3.3981439930000001</v>
      </c>
    </row>
    <row r="17" spans="1:4" ht="15.75" customHeight="1" x14ac:dyDescent="0.2">
      <c r="A17" s="1" t="s">
        <v>30</v>
      </c>
      <c r="B17" s="1">
        <v>0.59</v>
      </c>
      <c r="C17" s="5">
        <v>8.4953464360000002</v>
      </c>
      <c r="D17" s="5">
        <v>1.051707459</v>
      </c>
    </row>
    <row r="18" spans="1:4" ht="15.75" customHeight="1" x14ac:dyDescent="0.2">
      <c r="A18" s="1" t="s">
        <v>31</v>
      </c>
      <c r="B18" s="1">
        <v>0.39</v>
      </c>
      <c r="C18" s="5">
        <v>7.4165169410000003</v>
      </c>
      <c r="D18" s="5">
        <v>1.4399712010000001</v>
      </c>
    </row>
    <row r="19" spans="1:4" ht="15.75" customHeight="1" x14ac:dyDescent="0.2"/>
    <row r="20" spans="1:4" ht="15.75" customHeight="1" x14ac:dyDescent="0.2"/>
    <row r="21" spans="1:4" ht="15.75" customHeight="1" x14ac:dyDescent="0.2"/>
    <row r="22" spans="1:4" ht="15.75" customHeight="1" x14ac:dyDescent="0.2"/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selection activeCell="B3" sqref="B3"/>
    </sheetView>
  </sheetViews>
  <sheetFormatPr baseColWidth="10" defaultColWidth="11.1640625" defaultRowHeight="15" customHeight="1" x14ac:dyDescent="0.2"/>
  <cols>
    <col min="1" max="1" width="23.83203125" customWidth="1"/>
    <col min="2" max="2" width="22.1640625" customWidth="1"/>
    <col min="3" max="26" width="10.5" customWidth="1"/>
  </cols>
  <sheetData>
    <row r="1" spans="1:3" ht="15.75" customHeight="1" x14ac:dyDescent="0.2">
      <c r="A1" s="1" t="s">
        <v>64</v>
      </c>
      <c r="B1" s="1" t="s">
        <v>65</v>
      </c>
      <c r="C1" s="1" t="s">
        <v>66</v>
      </c>
    </row>
    <row r="2" spans="1:3" ht="15.75" customHeight="1" x14ac:dyDescent="0.2">
      <c r="A2" s="1" t="s">
        <v>67</v>
      </c>
      <c r="B2" s="1" t="s">
        <v>68</v>
      </c>
      <c r="C2" s="1" t="s">
        <v>69</v>
      </c>
    </row>
    <row r="3" spans="1:3" ht="15.75" customHeight="1" x14ac:dyDescent="0.2">
      <c r="A3" s="1" t="s">
        <v>70</v>
      </c>
      <c r="B3" s="1" t="s">
        <v>71</v>
      </c>
      <c r="C3" s="1" t="s">
        <v>69</v>
      </c>
    </row>
    <row r="4" spans="1:3" ht="15.75" customHeight="1" x14ac:dyDescent="0.2"/>
    <row r="5" spans="1:3" ht="15.75" customHeight="1" x14ac:dyDescent="0.2"/>
    <row r="6" spans="1:3" ht="15.75" customHeight="1" x14ac:dyDescent="0.2"/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00"/>
  <sheetViews>
    <sheetView workbookViewId="0">
      <selection activeCell="J1" sqref="J1"/>
    </sheetView>
  </sheetViews>
  <sheetFormatPr baseColWidth="10" defaultColWidth="11.1640625" defaultRowHeight="15" customHeight="1" x14ac:dyDescent="0.2"/>
  <cols>
    <col min="1" max="1" width="10.5" customWidth="1"/>
    <col min="2" max="2" width="19.83203125" customWidth="1"/>
    <col min="3" max="26" width="10.5" customWidth="1"/>
  </cols>
  <sheetData>
    <row r="1" spans="1:15" ht="15.75" customHeight="1" x14ac:dyDescent="0.2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6" t="s">
        <v>109</v>
      </c>
      <c r="M1" s="6" t="s">
        <v>110</v>
      </c>
      <c r="N1" s="6" t="s">
        <v>111</v>
      </c>
      <c r="O1" s="6" t="s">
        <v>112</v>
      </c>
    </row>
    <row r="2" spans="1:15" ht="15.75" customHeight="1" x14ac:dyDescent="0.2">
      <c r="A2" s="1" t="s">
        <v>15</v>
      </c>
      <c r="B2" s="1">
        <f t="array" ref="B2:J2">Input_Data!$B2:$J2*TRANSPOSE(Impact_Factors!$C$2:$C$10)</f>
        <v>77.696700000000007</v>
      </c>
      <c r="C2" s="1">
        <v>5.8520000000000003</v>
      </c>
      <c r="D2" s="1">
        <v>45.816000000000003</v>
      </c>
      <c r="E2" s="1">
        <v>23.879300000000001</v>
      </c>
      <c r="F2" s="1">
        <v>1.5089100000000001E-2</v>
      </c>
      <c r="G2" s="1">
        <v>332.60500000000002</v>
      </c>
      <c r="H2" s="1">
        <v>89.137848000000005</v>
      </c>
      <c r="I2" s="1">
        <v>819</v>
      </c>
      <c r="J2" s="1">
        <v>0</v>
      </c>
      <c r="K2" s="1">
        <f>Input_Data!K2*State_Electricity_Factors!B2</f>
        <v>146.72391199999998</v>
      </c>
      <c r="L2">
        <f>Input_Data!P2*Impact_Factors!$C$11</f>
        <v>1.18252</v>
      </c>
      <c r="M2">
        <f>Input_Data!Q2*Impact_Factors!$C$11</f>
        <v>6.2256199999999993</v>
      </c>
      <c r="N2">
        <f>Input_Data!R2*State_Electricity_Factors!B2</f>
        <v>68.155000000000001</v>
      </c>
      <c r="O2">
        <f>Input_Data!S2*State_Electricity_Factors!B2</f>
        <v>78.001999999999995</v>
      </c>
    </row>
    <row r="3" spans="1:15" ht="15.75" customHeight="1" x14ac:dyDescent="0.2">
      <c r="A3" s="1" t="s">
        <v>16</v>
      </c>
      <c r="B3" s="1">
        <f t="array" ref="B3:J3">Input_Data!$B3:$J3*TRANSPOSE(Impact_Factors!$C$2:$C$10)</f>
        <v>35.294400000000003</v>
      </c>
      <c r="C3" s="1">
        <v>3.7619999999999996</v>
      </c>
      <c r="D3" s="1">
        <v>11.545999999999998</v>
      </c>
      <c r="E3" s="1">
        <v>0.34410000000000002</v>
      </c>
      <c r="F3" s="1">
        <v>3.4164E-3</v>
      </c>
      <c r="G3" s="1">
        <v>356.09</v>
      </c>
      <c r="H3" s="1">
        <v>252.86582399999995</v>
      </c>
      <c r="I3" s="1">
        <v>245.70000000000002</v>
      </c>
      <c r="J3" s="1">
        <v>0</v>
      </c>
      <c r="K3" s="1">
        <f>Input_Data!K3*State_Electricity_Factors!B3</f>
        <v>435.50707199999988</v>
      </c>
      <c r="L3">
        <f>Input_Data!P3*Impact_Factors!$C$11</f>
        <v>1.18252</v>
      </c>
      <c r="M3">
        <f>Input_Data!Q3*Impact_Factors!$C$11</f>
        <v>6.2256199999999993</v>
      </c>
      <c r="N3">
        <f>Input_Data!R3*State_Electricity_Factors!B3</f>
        <v>76.08</v>
      </c>
      <c r="O3">
        <f>Input_Data!S3*State_Electricity_Factors!B3</f>
        <v>87.072000000000003</v>
      </c>
    </row>
    <row r="4" spans="1:15" ht="15.75" customHeight="1" x14ac:dyDescent="0.2">
      <c r="A4" s="1" t="s">
        <v>17</v>
      </c>
      <c r="B4" s="1">
        <f t="array" ref="B4:J4">Input_Data!$B4:$J4*TRANSPOSE(Impact_Factors!$C$2:$C$10)</f>
        <v>61.765200000000007</v>
      </c>
      <c r="C4" s="1">
        <v>25.08</v>
      </c>
      <c r="D4" s="1">
        <v>36.777000000000001</v>
      </c>
      <c r="E4" s="1">
        <v>18.804599999999997</v>
      </c>
      <c r="F4" s="1">
        <v>2.0498400000000003E-2</v>
      </c>
      <c r="G4" s="1">
        <v>358.08500000000004</v>
      </c>
      <c r="H4" s="1">
        <v>187.79783999999998</v>
      </c>
      <c r="I4" s="1">
        <v>873.6</v>
      </c>
      <c r="J4" s="1">
        <v>0</v>
      </c>
      <c r="K4" s="1">
        <f>Input_Data!K4*State_Electricity_Factors!B4</f>
        <v>242.45375999999996</v>
      </c>
      <c r="L4">
        <f>Input_Data!P4*Impact_Factors!$C$11</f>
        <v>1.18252</v>
      </c>
      <c r="M4">
        <f>Input_Data!Q4*Impact_Factors!$C$11</f>
        <v>6.2256199999999993</v>
      </c>
      <c r="N4">
        <f>Input_Data!R4*State_Electricity_Factors!B4</f>
        <v>95.1</v>
      </c>
      <c r="O4">
        <f>Input_Data!S4*State_Electricity_Factors!B4</f>
        <v>108.84</v>
      </c>
    </row>
    <row r="5" spans="1:15" ht="15.75" customHeight="1" x14ac:dyDescent="0.2">
      <c r="A5" s="1" t="s">
        <v>18</v>
      </c>
      <c r="B5" s="1">
        <f t="array" ref="B5:J5">Input_Data!$B5:$J5*TRANSPOSE(Impact_Factors!$C$2:$C$10)</f>
        <v>31.127700000000001</v>
      </c>
      <c r="C5" s="1">
        <v>9.8229999999999986</v>
      </c>
      <c r="D5" s="1">
        <v>4.8069999999999995</v>
      </c>
      <c r="E5" s="1">
        <v>2.6257000000000001</v>
      </c>
      <c r="F5" s="1">
        <v>1.2242100000000001E-2</v>
      </c>
      <c r="G5" s="1">
        <v>230.16000000000003</v>
      </c>
      <c r="H5" s="1">
        <v>251.01429599999997</v>
      </c>
      <c r="I5" s="1">
        <v>163.79999999999998</v>
      </c>
      <c r="J5" s="1">
        <v>0</v>
      </c>
      <c r="K5" s="1">
        <f>Input_Data!K5*State_Electricity_Factors!B5</f>
        <v>118.30579999999999</v>
      </c>
      <c r="L5">
        <f>Input_Data!P5*Impact_Factors!$C$11</f>
        <v>1.18252</v>
      </c>
      <c r="M5">
        <f>Input_Data!Q5*Impact_Factors!$C$11</f>
        <v>6.2256199999999993</v>
      </c>
      <c r="N5">
        <f>Input_Data!R5*State_Electricity_Factors!B5</f>
        <v>39.625</v>
      </c>
      <c r="O5">
        <f>Input_Data!S5*State_Electricity_Factors!B5</f>
        <v>45.35</v>
      </c>
    </row>
    <row r="6" spans="1:15" ht="15.75" customHeight="1" x14ac:dyDescent="0.2">
      <c r="A6" s="1" t="s">
        <v>19</v>
      </c>
      <c r="B6" s="1">
        <f t="array" ref="B6:J6">Input_Data!$B6:$J6*TRANSPOSE(Impact_Factors!$C$2:$C$10)</f>
        <v>95.588999999999999</v>
      </c>
      <c r="C6" s="1">
        <v>14.629999999999997</v>
      </c>
      <c r="D6" s="1">
        <v>35.603999999999999</v>
      </c>
      <c r="E6" s="1">
        <v>12.8619</v>
      </c>
      <c r="F6" s="1">
        <v>1.38554E-2</v>
      </c>
      <c r="G6" s="1">
        <v>304.185</v>
      </c>
      <c r="H6" s="1">
        <v>291.483408</v>
      </c>
      <c r="I6" s="1">
        <v>737.1</v>
      </c>
      <c r="J6" s="1">
        <v>0</v>
      </c>
      <c r="K6" s="1">
        <f>Input_Data!K6*State_Electricity_Factors!B6</f>
        <v>202.24503200000001</v>
      </c>
      <c r="L6">
        <f>Input_Data!P6*Impact_Factors!$C$11</f>
        <v>1.18252</v>
      </c>
      <c r="M6">
        <f>Input_Data!Q6*Impact_Factors!$C$11</f>
        <v>6.2256199999999993</v>
      </c>
      <c r="N6">
        <f>Input_Data!R6*State_Electricity_Factors!B6</f>
        <v>84.00500000000001</v>
      </c>
      <c r="O6">
        <f>Input_Data!S6*State_Electricity_Factors!B6</f>
        <v>96.14200000000001</v>
      </c>
    </row>
    <row r="7" spans="1:15" ht="15.75" customHeight="1" x14ac:dyDescent="0.2">
      <c r="A7" s="1" t="s">
        <v>20</v>
      </c>
      <c r="B7" s="1">
        <f t="array" ref="B7:J7">Input_Data!$B7:$J7*TRANSPOSE(Impact_Factors!$C$2:$C$10)</f>
        <v>68.137799999999999</v>
      </c>
      <c r="C7" s="1">
        <v>6.27</v>
      </c>
      <c r="D7" s="1">
        <v>51.220999999999997</v>
      </c>
      <c r="E7" s="1">
        <v>24.2575</v>
      </c>
      <c r="F7" s="1">
        <v>1.5278900000000002E-2</v>
      </c>
      <c r="G7" s="1">
        <v>306.495</v>
      </c>
      <c r="H7" s="1">
        <v>149.18025599999999</v>
      </c>
      <c r="I7" s="1">
        <v>764.4</v>
      </c>
      <c r="J7" s="1">
        <v>0</v>
      </c>
      <c r="K7" s="1">
        <f>Input_Data!K7*State_Electricity_Factors!B7</f>
        <v>299.26691199999999</v>
      </c>
      <c r="L7">
        <f>Input_Data!P7*Impact_Factors!$C$11</f>
        <v>1.18252</v>
      </c>
      <c r="M7">
        <f>Input_Data!Q7*Impact_Factors!$C$11</f>
        <v>6.2256199999999993</v>
      </c>
      <c r="N7">
        <f>Input_Data!R7*State_Electricity_Factors!B7</f>
        <v>77.664999999999992</v>
      </c>
      <c r="O7">
        <f>Input_Data!S7*State_Electricity_Factors!B7</f>
        <v>88.885999999999996</v>
      </c>
    </row>
    <row r="8" spans="1:15" ht="15.75" customHeight="1" x14ac:dyDescent="0.2">
      <c r="A8" s="1" t="s">
        <v>21</v>
      </c>
      <c r="B8" s="1">
        <f t="array" ref="B8:J8">Input_Data!$B8:$J8*TRANSPOSE(Impact_Factors!$C$2:$C$10)</f>
        <v>95.588999999999999</v>
      </c>
      <c r="C8" s="1">
        <v>14.629999999999997</v>
      </c>
      <c r="D8" s="1">
        <v>35.603999999999999</v>
      </c>
      <c r="E8" s="1">
        <v>12.8619</v>
      </c>
      <c r="F8" s="1">
        <v>1.38554E-2</v>
      </c>
      <c r="G8" s="1">
        <v>304.185</v>
      </c>
      <c r="H8" s="1">
        <v>267.94255199999998</v>
      </c>
      <c r="I8" s="1">
        <v>218.4</v>
      </c>
      <c r="J8" s="1">
        <v>0</v>
      </c>
      <c r="K8" s="1">
        <f>Input_Data!K8*State_Electricity_Factors!B8</f>
        <v>454.20198399999992</v>
      </c>
      <c r="L8">
        <f>Input_Data!P8*Impact_Factors!$C$11</f>
        <v>1.18252</v>
      </c>
      <c r="M8">
        <f>Input_Data!Q8*Impact_Factors!$C$11</f>
        <v>6.2256199999999993</v>
      </c>
      <c r="N8">
        <f>Input_Data!R8*State_Electricity_Factors!B8</f>
        <v>74.49499999999999</v>
      </c>
      <c r="O8">
        <f>Input_Data!S8*State_Electricity_Factors!B8</f>
        <v>85.257999999999996</v>
      </c>
    </row>
    <row r="9" spans="1:15" ht="15.75" customHeight="1" x14ac:dyDescent="0.2">
      <c r="A9" s="1" t="s">
        <v>22</v>
      </c>
      <c r="B9" s="1">
        <f t="array" ref="B9:J9">Input_Data!$B9:$J9*TRANSPOSE(Impact_Factors!$C$2:$C$10)</f>
        <v>93.628200000000007</v>
      </c>
      <c r="C9" s="1">
        <v>30.513999999999996</v>
      </c>
      <c r="D9" s="1">
        <v>39.283999999999992</v>
      </c>
      <c r="E9" s="1">
        <v>17.2546</v>
      </c>
      <c r="F9" s="1">
        <v>1.6512599999999999E-2</v>
      </c>
      <c r="G9" s="1">
        <v>246.32999999999998</v>
      </c>
      <c r="H9" s="1">
        <v>217.95129599999999</v>
      </c>
      <c r="I9" s="1">
        <v>600.6</v>
      </c>
      <c r="J9" s="1">
        <v>0</v>
      </c>
      <c r="K9" s="1">
        <f>Input_Data!K9*State_Electricity_Factors!B9</f>
        <v>250.19111999999996</v>
      </c>
      <c r="L9">
        <f>Input_Data!P9*Impact_Factors!$C$11</f>
        <v>1.18252</v>
      </c>
      <c r="M9">
        <f>Input_Data!Q9*Impact_Factors!$C$11</f>
        <v>6.2256199999999993</v>
      </c>
      <c r="N9">
        <f>Input_Data!R9*State_Electricity_Factors!B9</f>
        <v>91.929999999999993</v>
      </c>
      <c r="O9">
        <f>Input_Data!S9*State_Electricity_Factors!B9</f>
        <v>105.21199999999999</v>
      </c>
    </row>
    <row r="10" spans="1:15" ht="15.75" customHeight="1" x14ac:dyDescent="0.2">
      <c r="A10" s="1" t="s">
        <v>23</v>
      </c>
      <c r="B10" s="1">
        <f t="array" ref="B10:J10">Input_Data!$B10:$J10*TRANSPOSE(Impact_Factors!$C$2:$C$10)</f>
        <v>80.637900000000002</v>
      </c>
      <c r="C10" s="1">
        <v>29.259999999999994</v>
      </c>
      <c r="D10" s="1">
        <v>22.977</v>
      </c>
      <c r="E10" s="1">
        <v>17.731999999999999</v>
      </c>
      <c r="F10" s="1">
        <v>1.44248E-2</v>
      </c>
      <c r="G10" s="1">
        <v>306.03999999999996</v>
      </c>
      <c r="H10" s="1">
        <v>204.9906</v>
      </c>
      <c r="I10" s="1">
        <v>764.4</v>
      </c>
      <c r="J10" s="1">
        <v>0</v>
      </c>
      <c r="K10" s="1">
        <f>Input_Data!K10*State_Electricity_Factors!B10</f>
        <v>191.86839999999998</v>
      </c>
      <c r="L10">
        <f>Input_Data!P10*Impact_Factors!$C$11</f>
        <v>1.18252</v>
      </c>
      <c r="M10">
        <f>Input_Data!Q10*Impact_Factors!$C$11</f>
        <v>6.2256199999999993</v>
      </c>
      <c r="N10">
        <f>Input_Data!R10*State_Electricity_Factors!B10</f>
        <v>79.25</v>
      </c>
      <c r="O10">
        <f>Input_Data!S10*State_Electricity_Factors!B10</f>
        <v>90.7</v>
      </c>
    </row>
    <row r="11" spans="1:15" ht="15.75" customHeight="1" x14ac:dyDescent="0.2">
      <c r="A11" s="1" t="s">
        <v>24</v>
      </c>
      <c r="B11" s="1">
        <f t="array" ref="B11:J11">Input_Data!$B11:$J11*TRANSPOSE(Impact_Factors!$C$2:$C$10)</f>
        <v>51.716099999999997</v>
      </c>
      <c r="C11" s="1">
        <v>19.018999999999998</v>
      </c>
      <c r="D11" s="1">
        <v>34.04</v>
      </c>
      <c r="E11" s="1">
        <v>15.155900000000001</v>
      </c>
      <c r="F11" s="1">
        <v>2.1447399999999998E-2</v>
      </c>
      <c r="G11" s="1">
        <v>272.72000000000003</v>
      </c>
      <c r="H11" s="1">
        <v>248.10475199999996</v>
      </c>
      <c r="I11" s="1">
        <v>682.5</v>
      </c>
      <c r="J11" s="1">
        <v>0</v>
      </c>
      <c r="K11" s="1">
        <f>Input_Data!K11*State_Electricity_Factors!B11</f>
        <v>553.38192000000004</v>
      </c>
      <c r="L11">
        <f>Input_Data!P11*Impact_Factors!$C$11</f>
        <v>1.18252</v>
      </c>
      <c r="M11">
        <f>Input_Data!Q11*Impact_Factors!$C$11</f>
        <v>6.2256199999999993</v>
      </c>
      <c r="N11">
        <f>Input_Data!R11*State_Electricity_Factors!B11</f>
        <v>142.65</v>
      </c>
      <c r="O11">
        <f>Input_Data!S11*State_Electricity_Factors!B11</f>
        <v>163.26000000000002</v>
      </c>
    </row>
    <row r="12" spans="1:15" ht="15.75" customHeight="1" x14ac:dyDescent="0.2">
      <c r="A12" s="1" t="s">
        <v>25</v>
      </c>
      <c r="B12" s="1">
        <f t="array" ref="B12:J12">Input_Data!$B12:$J12*TRANSPOSE(Impact_Factors!$C$2:$C$10)</f>
        <v>95.588999999999999</v>
      </c>
      <c r="C12" s="1">
        <v>14.629999999999997</v>
      </c>
      <c r="D12" s="1">
        <v>35.603999999999999</v>
      </c>
      <c r="E12" s="1">
        <v>12.8619</v>
      </c>
      <c r="F12" s="1">
        <v>1.38554E-2</v>
      </c>
      <c r="G12" s="1">
        <v>304.185</v>
      </c>
      <c r="H12" s="1">
        <v>528.74349600000005</v>
      </c>
      <c r="I12" s="1">
        <v>218.4</v>
      </c>
      <c r="J12" s="1">
        <v>0</v>
      </c>
      <c r="K12" s="1">
        <f>Input_Data!K12*State_Electricity_Factors!B12</f>
        <v>1355.3638159999998</v>
      </c>
      <c r="L12">
        <f>Input_Data!P12*Impact_Factors!$C$11</f>
        <v>1.18252</v>
      </c>
      <c r="M12">
        <f>Input_Data!Q12*Impact_Factors!$C$11</f>
        <v>6.2256199999999993</v>
      </c>
      <c r="N12">
        <f>Input_Data!R12*State_Electricity_Factors!B12</f>
        <v>125.215</v>
      </c>
      <c r="O12">
        <f>Input_Data!S12*State_Electricity_Factors!B12</f>
        <v>143.30600000000001</v>
      </c>
    </row>
    <row r="13" spans="1:15" ht="15.75" customHeight="1" x14ac:dyDescent="0.2">
      <c r="A13" s="1" t="s">
        <v>26</v>
      </c>
      <c r="B13" s="1">
        <f t="array" ref="B13:J13">Input_Data!$B13:$J13*TRANSPOSE(Impact_Factors!$C$2:$C$10)</f>
        <v>80.882999999999996</v>
      </c>
      <c r="C13" s="1">
        <v>11.912999999999998</v>
      </c>
      <c r="D13" s="1">
        <v>25.207999999999998</v>
      </c>
      <c r="E13" s="1">
        <v>22.3262</v>
      </c>
      <c r="F13" s="1">
        <v>1.4045200000000001E-2</v>
      </c>
      <c r="G13" s="1">
        <v>261.27500000000003</v>
      </c>
      <c r="H13" s="1">
        <v>199.70051999999998</v>
      </c>
      <c r="I13" s="1">
        <v>655.19999999999993</v>
      </c>
      <c r="J13" s="1">
        <v>0</v>
      </c>
      <c r="K13" s="1">
        <f>Input_Data!K13*State_Electricity_Factors!B13</f>
        <v>360.71094399999998</v>
      </c>
      <c r="L13">
        <f>Input_Data!P13*Impact_Factors!$C$11</f>
        <v>1.18252</v>
      </c>
      <c r="M13">
        <f>Input_Data!Q13*Impact_Factors!$C$11</f>
        <v>6.2256199999999993</v>
      </c>
      <c r="N13">
        <f>Input_Data!R13*State_Electricity_Factors!B13</f>
        <v>69.739999999999995</v>
      </c>
      <c r="O13">
        <f>Input_Data!S13*State_Electricity_Factors!B13</f>
        <v>79.816000000000003</v>
      </c>
    </row>
    <row r="14" spans="1:15" ht="15.75" customHeight="1" x14ac:dyDescent="0.2">
      <c r="A14" s="1" t="s">
        <v>27</v>
      </c>
      <c r="B14" s="1">
        <f t="array" ref="B14:J14">Input_Data!$B14:$J14*TRANSPOSE(Impact_Factors!$C$2:$C$10)</f>
        <v>159.315</v>
      </c>
      <c r="C14" s="1">
        <v>13.375999999999999</v>
      </c>
      <c r="D14" s="1">
        <v>44.263500000000001</v>
      </c>
      <c r="E14" s="1">
        <v>2.9015999999999997</v>
      </c>
      <c r="F14" s="1">
        <v>1.8885100000000002E-2</v>
      </c>
      <c r="G14" s="1">
        <v>432.39000000000004</v>
      </c>
      <c r="H14" s="1">
        <v>302.32807200000002</v>
      </c>
      <c r="I14" s="1">
        <v>300.3</v>
      </c>
      <c r="J14" s="1">
        <v>0</v>
      </c>
      <c r="K14" s="1">
        <f>Input_Data!K14*State_Electricity_Factors!B14</f>
        <v>490.4068959999999</v>
      </c>
      <c r="L14">
        <f>Input_Data!P14*Impact_Factors!$C$11</f>
        <v>1.18252</v>
      </c>
      <c r="M14">
        <f>Input_Data!Q14*Impact_Factors!$C$11</f>
        <v>6.2256199999999993</v>
      </c>
      <c r="N14">
        <f>Input_Data!R14*State_Electricity_Factors!B14</f>
        <v>77.664999999999992</v>
      </c>
      <c r="O14">
        <f>Input_Data!S14*State_Electricity_Factors!B14</f>
        <v>88.885999999999996</v>
      </c>
    </row>
    <row r="15" spans="1:15" ht="15.75" customHeight="1" x14ac:dyDescent="0.2">
      <c r="A15" s="1" t="s">
        <v>28</v>
      </c>
      <c r="B15" s="1">
        <f t="array" ref="B15:J15">Input_Data!$B15:$J15*TRANSPOSE(Impact_Factors!$C$2:$C$10)</f>
        <v>97.549800000000005</v>
      </c>
      <c r="C15" s="1">
        <v>6.27</v>
      </c>
      <c r="D15" s="1">
        <v>33.706499999999998</v>
      </c>
      <c r="E15" s="1">
        <v>33.0336</v>
      </c>
      <c r="F15" s="1">
        <v>2.3440300000000001E-2</v>
      </c>
      <c r="G15" s="1">
        <v>341.565</v>
      </c>
      <c r="H15" s="1">
        <v>172.45660800000002</v>
      </c>
      <c r="I15" s="1">
        <v>846.30000000000007</v>
      </c>
      <c r="J15" s="1">
        <v>0</v>
      </c>
      <c r="K15" s="1">
        <f>Input_Data!K15*State_Electricity_Factors!B15</f>
        <v>192.43366399999999</v>
      </c>
      <c r="L15">
        <f>Input_Data!P15*Impact_Factors!$C$11</f>
        <v>1.18252</v>
      </c>
      <c r="M15">
        <f>Input_Data!Q15*Impact_Factors!$C$11</f>
        <v>6.2256199999999993</v>
      </c>
      <c r="N15">
        <f>Input_Data!R15*State_Electricity_Factors!B15</f>
        <v>50.72</v>
      </c>
      <c r="O15">
        <f>Input_Data!S15*State_Electricity_Factors!B15</f>
        <v>58.048000000000002</v>
      </c>
    </row>
    <row r="16" spans="1:15" ht="15.75" customHeight="1" x14ac:dyDescent="0.2">
      <c r="A16" s="1" t="s">
        <v>29</v>
      </c>
      <c r="B16" s="1">
        <f t="array" ref="B16:J16">Input_Data!$B16:$J16*TRANSPOSE(Impact_Factors!$C$2:$C$10)</f>
        <v>74.755499999999998</v>
      </c>
      <c r="C16" s="1">
        <v>14.420999999999998</v>
      </c>
      <c r="D16" s="1">
        <v>43.527499999999996</v>
      </c>
      <c r="E16" s="1">
        <v>21.253600000000002</v>
      </c>
      <c r="F16" s="1">
        <v>1.3285999999999999E-2</v>
      </c>
      <c r="G16" s="1">
        <v>254.31</v>
      </c>
      <c r="H16" s="1">
        <v>69.035544000000002</v>
      </c>
      <c r="I16" s="1">
        <v>627.9</v>
      </c>
      <c r="J16" s="1">
        <v>0</v>
      </c>
      <c r="K16" s="1">
        <f>Input_Data!K16*State_Electricity_Factors!B16</f>
        <v>160.59924799999999</v>
      </c>
      <c r="L16">
        <f>Input_Data!P16*Impact_Factors!$C$11</f>
        <v>1.18252</v>
      </c>
      <c r="M16">
        <f>Input_Data!Q16*Impact_Factors!$C$11</f>
        <v>6.2256199999999993</v>
      </c>
      <c r="N16">
        <f>Input_Data!R16*State_Electricity_Factors!B16</f>
        <v>72.91</v>
      </c>
      <c r="O16">
        <f>Input_Data!S16*State_Electricity_Factors!B16</f>
        <v>83.444000000000003</v>
      </c>
    </row>
    <row r="17" spans="1:15" ht="15.75" customHeight="1" x14ac:dyDescent="0.2">
      <c r="A17" s="1" t="s">
        <v>30</v>
      </c>
      <c r="B17" s="1">
        <f t="array" ref="B17:J17">Input_Data!$B17:$J17*TRANSPOSE(Impact_Factors!$C$2:$C$10)</f>
        <v>139.70700000000002</v>
      </c>
      <c r="C17" s="1">
        <v>13.584999999999999</v>
      </c>
      <c r="D17" s="1">
        <v>35.270499999999998</v>
      </c>
      <c r="E17" s="1">
        <v>1.4849000000000001</v>
      </c>
      <c r="F17" s="1">
        <v>9.5849000000000004E-3</v>
      </c>
      <c r="G17" s="1">
        <v>299.88</v>
      </c>
      <c r="H17" s="1">
        <v>500.4415679999999</v>
      </c>
      <c r="I17" s="1">
        <v>191.1</v>
      </c>
      <c r="J17" s="1">
        <v>0</v>
      </c>
      <c r="K17" s="1">
        <f>Input_Data!K17*State_Electricity_Factors!B17</f>
        <v>579.35687199999995</v>
      </c>
      <c r="L17">
        <f>Input_Data!P17*Impact_Factors!$C$11</f>
        <v>1.18252</v>
      </c>
      <c r="M17">
        <f>Input_Data!Q17*Impact_Factors!$C$11</f>
        <v>6.2256199999999993</v>
      </c>
      <c r="N17">
        <f>Input_Data!R17*State_Electricity_Factors!B17</f>
        <v>93.515000000000001</v>
      </c>
      <c r="O17">
        <f>Input_Data!S17*State_Electricity_Factors!B17</f>
        <v>107.026</v>
      </c>
    </row>
    <row r="18" spans="1:15" ht="15.75" customHeight="1" x14ac:dyDescent="0.2">
      <c r="A18" s="1" t="s">
        <v>31</v>
      </c>
      <c r="B18" s="1">
        <f t="array" ref="B18:J18">Input_Data!$B18:$J18*TRANSPOSE(Impact_Factors!$C$2:$C$10)</f>
        <v>95.588999999999999</v>
      </c>
      <c r="C18" s="1">
        <v>14.629999999999997</v>
      </c>
      <c r="D18" s="1">
        <v>35.603999999999999</v>
      </c>
      <c r="E18" s="1">
        <v>12.8619</v>
      </c>
      <c r="F18" s="1">
        <v>1.38554E-2</v>
      </c>
      <c r="G18" s="1">
        <v>304.185</v>
      </c>
      <c r="H18" s="1">
        <v>128.81344799999999</v>
      </c>
      <c r="I18" s="1">
        <v>737.1</v>
      </c>
      <c r="J18" s="1">
        <v>0</v>
      </c>
      <c r="K18" s="1">
        <f>Input_Data!K18*State_Electricity_Factors!B18</f>
        <v>217.84994399999997</v>
      </c>
      <c r="L18">
        <f>Input_Data!P18*Impact_Factors!$C$11</f>
        <v>1.18252</v>
      </c>
      <c r="M18">
        <f>Input_Data!Q18*Impact_Factors!$C$11</f>
        <v>6.2256199999999993</v>
      </c>
      <c r="N18">
        <f>Input_Data!R18*State_Electricity_Factors!B18</f>
        <v>61.815000000000005</v>
      </c>
      <c r="O18">
        <f>Input_Data!S18*State_Electricity_Factors!B18</f>
        <v>70.746000000000009</v>
      </c>
    </row>
    <row r="19" spans="1:15" ht="15.75" customHeight="1" x14ac:dyDescent="0.2">
      <c r="A19" s="1" t="s">
        <v>82</v>
      </c>
      <c r="B19" s="1" t="s">
        <v>82</v>
      </c>
    </row>
    <row r="20" spans="1:15" ht="15.75" customHeight="1" x14ac:dyDescent="0.2">
      <c r="A20" s="1" t="s">
        <v>83</v>
      </c>
    </row>
    <row r="21" spans="1:15" ht="15.75" customHeight="1" x14ac:dyDescent="0.2">
      <c r="A21" s="1" t="s">
        <v>0</v>
      </c>
      <c r="B21" s="1" t="s">
        <v>72</v>
      </c>
      <c r="C21" s="1" t="s">
        <v>73</v>
      </c>
      <c r="D21" s="1" t="s">
        <v>74</v>
      </c>
      <c r="E21" s="1" t="s">
        <v>75</v>
      </c>
      <c r="F21" s="1" t="s">
        <v>76</v>
      </c>
      <c r="G21" s="1" t="s">
        <v>77</v>
      </c>
      <c r="H21" s="1" t="s">
        <v>78</v>
      </c>
      <c r="I21" s="1" t="s">
        <v>79</v>
      </c>
      <c r="J21" s="1" t="s">
        <v>80</v>
      </c>
      <c r="K21" s="1" t="s">
        <v>81</v>
      </c>
      <c r="L21" s="6" t="s">
        <v>109</v>
      </c>
      <c r="M21" s="6" t="s">
        <v>110</v>
      </c>
      <c r="N21" s="6" t="s">
        <v>111</v>
      </c>
      <c r="O21" s="6" t="s">
        <v>112</v>
      </c>
    </row>
    <row r="22" spans="1:15" ht="15.75" customHeight="1" x14ac:dyDescent="0.2">
      <c r="A22" s="1" t="s">
        <v>15</v>
      </c>
      <c r="B22" s="1">
        <f t="array" ref="B22:J22">Input_Data_Electrified!$B2:$J2*TRANSPOSE(Impact_Factors!$C$2:$C$10)</f>
        <v>77.696700000000007</v>
      </c>
      <c r="C22" s="1">
        <v>5.8520000000000003</v>
      </c>
      <c r="D22" s="1">
        <v>45.816000000000003</v>
      </c>
      <c r="E22" s="1">
        <v>23.879300000000001</v>
      </c>
      <c r="F22" s="1">
        <v>1.5089100000000001E-2</v>
      </c>
      <c r="G22" s="1">
        <v>332.60500000000002</v>
      </c>
      <c r="H22" s="1">
        <v>0</v>
      </c>
      <c r="I22" s="1">
        <v>819</v>
      </c>
      <c r="J22" s="1">
        <v>0</v>
      </c>
      <c r="K22" s="1">
        <f>Input_Data_Electrified!K2*State_Electricity_Factors!B2</f>
        <v>199.2624816</v>
      </c>
      <c r="L22">
        <f>Input_Data_Electrified!P2*Impact_Factors!$C$11</f>
        <v>0</v>
      </c>
      <c r="M22">
        <f>Input_Data_Electrified!Q2*Impact_Factors!$C$11</f>
        <v>0</v>
      </c>
      <c r="N22">
        <f>Input_Data_Electrified!R2*State_Electricity_Factors!B2</f>
        <v>83.506</v>
      </c>
      <c r="O22">
        <f>Input_Data_Electrified!S2*State_Electricity_Factors!B2</f>
        <v>158.82050000000001</v>
      </c>
    </row>
    <row r="23" spans="1:15" ht="15.75" customHeight="1" x14ac:dyDescent="0.2">
      <c r="A23" s="1" t="s">
        <v>16</v>
      </c>
      <c r="B23" s="1">
        <f t="array" ref="B23:J23">Input_Data_Electrified!$B3:$J3*TRANSPOSE(Impact_Factors!$C$2:$C$10)</f>
        <v>35.294400000000003</v>
      </c>
      <c r="C23" s="1">
        <v>3.7619999999999996</v>
      </c>
      <c r="D23" s="1">
        <v>11.545999999999998</v>
      </c>
      <c r="E23" s="1">
        <v>0.34410000000000002</v>
      </c>
      <c r="F23" s="1">
        <v>3.4164E-3</v>
      </c>
      <c r="G23" s="1">
        <v>356.09</v>
      </c>
      <c r="H23" s="1">
        <v>0</v>
      </c>
      <c r="I23" s="1">
        <v>245.70000000000002</v>
      </c>
      <c r="J23" s="1">
        <v>0</v>
      </c>
      <c r="K23" s="1">
        <f>Input_Data_Electrified!K3*State_Electricity_Factors!B3</f>
        <v>601.87860479999995</v>
      </c>
      <c r="L23">
        <f>Input_Data_Electrified!P3*Impact_Factors!$C$11</f>
        <v>0</v>
      </c>
      <c r="M23">
        <f>Input_Data_Electrified!Q3*Impact_Factors!$C$11</f>
        <v>0</v>
      </c>
      <c r="N23">
        <f>Input_Data_Electrified!R3*State_Electricity_Factors!B3</f>
        <v>93.215999999999994</v>
      </c>
      <c r="O23">
        <f>Input_Data_Electrified!S3*State_Electricity_Factors!B3</f>
        <v>177.28800000000001</v>
      </c>
    </row>
    <row r="24" spans="1:15" ht="15.75" customHeight="1" x14ac:dyDescent="0.2">
      <c r="A24" s="1" t="s">
        <v>17</v>
      </c>
      <c r="B24" s="1">
        <f t="array" ref="B24:J24">Input_Data_Electrified!$B4:$J4*TRANSPOSE(Impact_Factors!$C$2:$C$10)</f>
        <v>61.765200000000007</v>
      </c>
      <c r="C24" s="1">
        <v>25.08</v>
      </c>
      <c r="D24" s="1">
        <v>36.777000000000001</v>
      </c>
      <c r="E24" s="1">
        <v>18.804599999999997</v>
      </c>
      <c r="F24" s="1">
        <v>2.0498400000000003E-2</v>
      </c>
      <c r="G24" s="1">
        <v>358.08500000000004</v>
      </c>
      <c r="H24" s="1">
        <v>0</v>
      </c>
      <c r="I24" s="1">
        <v>873.6</v>
      </c>
      <c r="J24" s="1">
        <v>0</v>
      </c>
      <c r="K24" s="1">
        <f>Input_Data_Electrified!K4*State_Electricity_Factors!B4</f>
        <v>396.90431999999998</v>
      </c>
      <c r="L24">
        <f>Input_Data_Electrified!P4*Impact_Factors!$C$11</f>
        <v>0</v>
      </c>
      <c r="M24">
        <f>Input_Data_Electrified!Q4*Impact_Factors!$C$11</f>
        <v>0</v>
      </c>
      <c r="N24">
        <f>Input_Data_Electrified!R4*State_Electricity_Factors!B4</f>
        <v>116.51999999999998</v>
      </c>
      <c r="O24">
        <f>Input_Data_Electrified!S4*State_Electricity_Factors!B4</f>
        <v>221.61</v>
      </c>
    </row>
    <row r="25" spans="1:15" ht="15.75" customHeight="1" x14ac:dyDescent="0.2">
      <c r="A25" s="1" t="s">
        <v>18</v>
      </c>
      <c r="B25" s="1">
        <f t="array" ref="B25:J25">Input_Data_Electrified!$B5:$J5*TRANSPOSE(Impact_Factors!$C$2:$C$10)</f>
        <v>31.127700000000001</v>
      </c>
      <c r="C25" s="1">
        <v>9.8229999999999986</v>
      </c>
      <c r="D25" s="1">
        <v>4.8069999999999995</v>
      </c>
      <c r="E25" s="1">
        <v>2.6257000000000001</v>
      </c>
      <c r="F25" s="1">
        <v>1.2242100000000001E-2</v>
      </c>
      <c r="G25" s="1">
        <v>230.16000000000003</v>
      </c>
      <c r="H25" s="1">
        <v>0</v>
      </c>
      <c r="I25" s="1">
        <v>163.79999999999998</v>
      </c>
      <c r="J25" s="1">
        <v>0</v>
      </c>
      <c r="K25" s="1">
        <f>Input_Data_Electrified!K5*State_Electricity_Factors!B5</f>
        <v>204.32315999999997</v>
      </c>
      <c r="L25">
        <f>Input_Data_Electrified!P5*Impact_Factors!$C$11</f>
        <v>0</v>
      </c>
      <c r="M25">
        <f>Input_Data_Electrified!Q5*Impact_Factors!$C$11</f>
        <v>0</v>
      </c>
      <c r="N25">
        <f>Input_Data_Electrified!R5*State_Electricity_Factors!B5</f>
        <v>48.55</v>
      </c>
      <c r="O25">
        <f>Input_Data_Electrified!S5*State_Electricity_Factors!B5</f>
        <v>92.337500000000006</v>
      </c>
    </row>
    <row r="26" spans="1:15" ht="15.75" customHeight="1" x14ac:dyDescent="0.2">
      <c r="A26" s="1" t="s">
        <v>19</v>
      </c>
      <c r="B26" s="1">
        <f t="array" ref="B26:J26">Input_Data_Electrified!$B6:$J6*TRANSPOSE(Impact_Factors!$C$2:$C$10)</f>
        <v>95.588999999999999</v>
      </c>
      <c r="C26" s="1">
        <v>14.629999999999997</v>
      </c>
      <c r="D26" s="1">
        <v>35.603999999999999</v>
      </c>
      <c r="E26" s="1">
        <v>12.8619</v>
      </c>
      <c r="F26" s="1">
        <v>1.38554E-2</v>
      </c>
      <c r="G26" s="1">
        <v>304.185</v>
      </c>
      <c r="H26" s="1">
        <v>0</v>
      </c>
      <c r="I26" s="1">
        <v>737.1</v>
      </c>
      <c r="J26" s="1">
        <v>0</v>
      </c>
      <c r="K26" s="1">
        <f>Input_Data_Electrified!K6*State_Electricity_Factors!B6</f>
        <v>414.00182560000002</v>
      </c>
      <c r="L26">
        <f>Input_Data_Electrified!P6*Impact_Factors!$C$11</f>
        <v>0</v>
      </c>
      <c r="M26">
        <f>Input_Data_Electrified!Q6*Impact_Factors!$C$11</f>
        <v>0</v>
      </c>
      <c r="N26">
        <f>Input_Data_Electrified!R6*State_Electricity_Factors!B6</f>
        <v>102.926</v>
      </c>
      <c r="O26">
        <f>Input_Data_Electrified!S6*State_Electricity_Factors!B6</f>
        <v>195.75550000000001</v>
      </c>
    </row>
    <row r="27" spans="1:15" ht="15.75" customHeight="1" x14ac:dyDescent="0.2">
      <c r="A27" s="1" t="s">
        <v>20</v>
      </c>
      <c r="B27" s="1">
        <f t="array" ref="B27:J27">Input_Data_Electrified!$B7:$J7*TRANSPOSE(Impact_Factors!$C$2:$C$10)</f>
        <v>68.137799999999999</v>
      </c>
      <c r="C27" s="1">
        <v>6.27</v>
      </c>
      <c r="D27" s="1">
        <v>51.220999999999997</v>
      </c>
      <c r="E27" s="1">
        <v>24.2575</v>
      </c>
      <c r="F27" s="1">
        <v>1.5278900000000002E-2</v>
      </c>
      <c r="G27" s="1">
        <v>306.495</v>
      </c>
      <c r="H27" s="1">
        <v>0</v>
      </c>
      <c r="I27" s="1">
        <v>764.4</v>
      </c>
      <c r="J27" s="1">
        <v>0</v>
      </c>
      <c r="K27" s="1">
        <f>Input_Data_Electrified!K7*State_Electricity_Factors!B7</f>
        <v>399.46399359999998</v>
      </c>
      <c r="L27">
        <f>Input_Data_Electrified!P7*Impact_Factors!$C$11</f>
        <v>0</v>
      </c>
      <c r="M27">
        <f>Input_Data_Electrified!Q7*Impact_Factors!$C$11</f>
        <v>0</v>
      </c>
      <c r="N27">
        <f>Input_Data_Electrified!R7*State_Electricity_Factors!B7</f>
        <v>95.157999999999987</v>
      </c>
      <c r="O27">
        <f>Input_Data_Electrified!S7*State_Electricity_Factors!B7</f>
        <v>180.98150000000001</v>
      </c>
    </row>
    <row r="28" spans="1:15" ht="15.75" customHeight="1" x14ac:dyDescent="0.2">
      <c r="A28" s="1" t="s">
        <v>21</v>
      </c>
      <c r="B28" s="1">
        <f t="array" ref="B28:J28">Input_Data_Electrified!$B8:$J8*TRANSPOSE(Impact_Factors!$C$2:$C$10)</f>
        <v>95.588999999999999</v>
      </c>
      <c r="C28" s="1">
        <v>14.629999999999997</v>
      </c>
      <c r="D28" s="1">
        <v>35.603999999999999</v>
      </c>
      <c r="E28" s="1">
        <v>12.8619</v>
      </c>
      <c r="F28" s="1">
        <v>1.38554E-2</v>
      </c>
      <c r="G28" s="1">
        <v>304.185</v>
      </c>
      <c r="H28" s="1">
        <v>0</v>
      </c>
      <c r="I28" s="1">
        <v>218.4</v>
      </c>
      <c r="J28" s="1">
        <v>0</v>
      </c>
      <c r="K28" s="1">
        <f>Input_Data_Electrified!K8*State_Electricity_Factors!B8</f>
        <v>626.82042560000002</v>
      </c>
      <c r="L28">
        <f>Input_Data_Electrified!P8*Impact_Factors!$C$11</f>
        <v>0</v>
      </c>
      <c r="M28">
        <f>Input_Data_Electrified!Q8*Impact_Factors!$C$11</f>
        <v>0</v>
      </c>
      <c r="N28">
        <f>Input_Data_Electrified!R8*State_Electricity_Factors!B8</f>
        <v>91.273999999999987</v>
      </c>
      <c r="O28">
        <f>Input_Data_Electrified!S8*State_Electricity_Factors!B8</f>
        <v>173.59450000000001</v>
      </c>
    </row>
    <row r="29" spans="1:15" ht="15.75" customHeight="1" x14ac:dyDescent="0.2">
      <c r="A29" s="1" t="s">
        <v>22</v>
      </c>
      <c r="B29" s="1">
        <f t="array" ref="B29:J29">Input_Data_Electrified!$B9:$J9*TRANSPOSE(Impact_Factors!$C$2:$C$10)</f>
        <v>93.628200000000007</v>
      </c>
      <c r="C29" s="1">
        <v>30.513999999999996</v>
      </c>
      <c r="D29" s="1">
        <v>39.283999999999992</v>
      </c>
      <c r="E29" s="1">
        <v>17.2546</v>
      </c>
      <c r="F29" s="1">
        <v>1.6512599999999999E-2</v>
      </c>
      <c r="G29" s="1">
        <v>246.32999999999998</v>
      </c>
      <c r="H29" s="1">
        <v>0</v>
      </c>
      <c r="I29" s="1">
        <v>600.6</v>
      </c>
      <c r="J29" s="1">
        <v>0</v>
      </c>
      <c r="K29" s="1">
        <f>Input_Data_Electrified!K9*State_Electricity_Factors!B9</f>
        <v>423.46579519999995</v>
      </c>
      <c r="L29">
        <f>Input_Data_Electrified!P9*Impact_Factors!$C$11</f>
        <v>0</v>
      </c>
      <c r="M29">
        <f>Input_Data_Electrified!Q9*Impact_Factors!$C$11</f>
        <v>0</v>
      </c>
      <c r="N29">
        <f>Input_Data_Electrified!R9*State_Electricity_Factors!B9</f>
        <v>112.63599999999998</v>
      </c>
      <c r="O29">
        <f>Input_Data_Electrified!S9*State_Electricity_Factors!B9</f>
        <v>214.22299999999998</v>
      </c>
    </row>
    <row r="30" spans="1:15" ht="15.75" customHeight="1" x14ac:dyDescent="0.2">
      <c r="A30" s="1" t="s">
        <v>23</v>
      </c>
      <c r="B30" s="1">
        <f t="array" ref="B30:J30">Input_Data_Electrified!$B10:$J10*TRANSPOSE(Impact_Factors!$C$2:$C$10)</f>
        <v>80.637900000000002</v>
      </c>
      <c r="C30" s="1">
        <v>29.259999999999994</v>
      </c>
      <c r="D30" s="1">
        <v>22.977</v>
      </c>
      <c r="E30" s="1">
        <v>17.731999999999999</v>
      </c>
      <c r="F30" s="1">
        <v>1.44248E-2</v>
      </c>
      <c r="G30" s="1">
        <v>306.03999999999996</v>
      </c>
      <c r="H30" s="1">
        <v>0</v>
      </c>
      <c r="I30" s="1">
        <v>764.4</v>
      </c>
      <c r="J30" s="1">
        <v>0</v>
      </c>
      <c r="K30" s="1">
        <f>Input_Data_Electrified!K10*State_Electricity_Factors!B10</f>
        <v>332.36040000000003</v>
      </c>
      <c r="L30">
        <f>Input_Data_Electrified!P10*Impact_Factors!$C$11</f>
        <v>0</v>
      </c>
      <c r="M30">
        <f>Input_Data_Electrified!Q10*Impact_Factors!$C$11</f>
        <v>0</v>
      </c>
      <c r="N30">
        <f>Input_Data_Electrified!R10*State_Electricity_Factors!B10</f>
        <v>97.1</v>
      </c>
      <c r="O30">
        <f>Input_Data_Electrified!S10*State_Electricity_Factors!B10</f>
        <v>184.67500000000001</v>
      </c>
    </row>
    <row r="31" spans="1:15" ht="15.75" customHeight="1" x14ac:dyDescent="0.2">
      <c r="A31" s="1" t="s">
        <v>24</v>
      </c>
      <c r="B31" s="1">
        <f t="array" ref="B31:J31">Input_Data_Electrified!$B11:$J11*TRANSPOSE(Impact_Factors!$C$2:$C$10)</f>
        <v>51.716099999999997</v>
      </c>
      <c r="C31" s="1">
        <v>19.018999999999998</v>
      </c>
      <c r="D31" s="1">
        <v>34.04</v>
      </c>
      <c r="E31" s="1">
        <v>15.155900000000001</v>
      </c>
      <c r="F31" s="1">
        <v>2.1447399999999998E-2</v>
      </c>
      <c r="G31" s="1">
        <v>272.72000000000003</v>
      </c>
      <c r="H31" s="1">
        <v>0</v>
      </c>
      <c r="I31" s="1">
        <v>682.5</v>
      </c>
      <c r="J31" s="1">
        <v>0</v>
      </c>
      <c r="K31" s="1">
        <f>Input_Data_Electrified!K11*State_Electricity_Factors!B11</f>
        <v>859.45507199999997</v>
      </c>
      <c r="L31">
        <f>Input_Data_Electrified!P11*Impact_Factors!$C$11</f>
        <v>0</v>
      </c>
      <c r="M31">
        <f>Input_Data_Electrified!Q11*Impact_Factors!$C$11</f>
        <v>0</v>
      </c>
      <c r="N31">
        <f>Input_Data_Electrified!R11*State_Electricity_Factors!B11</f>
        <v>174.78</v>
      </c>
      <c r="O31">
        <f>Input_Data_Electrified!S11*State_Electricity_Factors!B11</f>
        <v>332.41500000000002</v>
      </c>
    </row>
    <row r="32" spans="1:15" ht="15.75" customHeight="1" x14ac:dyDescent="0.2">
      <c r="A32" s="1" t="s">
        <v>25</v>
      </c>
      <c r="B32" s="1">
        <f t="array" ref="B32:J32">Input_Data_Electrified!$B12:$J12*TRANSPOSE(Impact_Factors!$C$2:$C$10)</f>
        <v>95.588999999999999</v>
      </c>
      <c r="C32" s="1">
        <v>14.629999999999997</v>
      </c>
      <c r="D32" s="1">
        <v>35.603999999999999</v>
      </c>
      <c r="E32" s="1">
        <v>12.8619</v>
      </c>
      <c r="F32" s="1">
        <v>1.38554E-2</v>
      </c>
      <c r="G32" s="1">
        <v>304.185</v>
      </c>
      <c r="H32" s="1">
        <v>0</v>
      </c>
      <c r="I32" s="1">
        <v>218.4</v>
      </c>
      <c r="J32" s="1">
        <v>0</v>
      </c>
      <c r="K32" s="1">
        <f>Input_Data_Electrified!K12*State_Electricity_Factors!B12</f>
        <v>1927.9221935999999</v>
      </c>
      <c r="L32">
        <f>Input_Data_Electrified!P12*Impact_Factors!$C$11</f>
        <v>0</v>
      </c>
      <c r="M32">
        <f>Input_Data_Electrified!Q12*Impact_Factors!$C$11</f>
        <v>0</v>
      </c>
      <c r="N32">
        <f>Input_Data_Electrified!R12*State_Electricity_Factors!B12</f>
        <v>153.41800000000001</v>
      </c>
      <c r="O32">
        <f>Input_Data_Electrified!S12*State_Electricity_Factors!B12</f>
        <v>291.78650000000005</v>
      </c>
    </row>
    <row r="33" spans="1:15" ht="15.75" customHeight="1" x14ac:dyDescent="0.2">
      <c r="A33" s="1" t="s">
        <v>26</v>
      </c>
      <c r="B33" s="1">
        <f t="array" ref="B33:J33">Input_Data_Electrified!$B13:$J13*TRANSPOSE(Impact_Factors!$C$2:$C$10)</f>
        <v>80.882999999999996</v>
      </c>
      <c r="C33" s="1">
        <v>11.912999999999998</v>
      </c>
      <c r="D33" s="1">
        <v>25.207999999999998</v>
      </c>
      <c r="E33" s="1">
        <v>22.3262</v>
      </c>
      <c r="F33" s="1">
        <v>1.4045200000000001E-2</v>
      </c>
      <c r="G33" s="1">
        <v>261.27500000000003</v>
      </c>
      <c r="H33" s="1">
        <v>0</v>
      </c>
      <c r="I33" s="1">
        <v>655.19999999999993</v>
      </c>
      <c r="J33" s="1">
        <v>0</v>
      </c>
      <c r="K33" s="1">
        <f>Input_Data_Electrified!K13*State_Electricity_Factors!B13</f>
        <v>481.15337600000004</v>
      </c>
      <c r="L33">
        <f>Input_Data_Electrified!P13*Impact_Factors!$C$11</f>
        <v>0</v>
      </c>
      <c r="M33">
        <f>Input_Data_Electrified!Q13*Impact_Factors!$C$11</f>
        <v>0</v>
      </c>
      <c r="N33">
        <f>Input_Data_Electrified!R13*State_Electricity_Factors!B13</f>
        <v>85.447999999999993</v>
      </c>
      <c r="O33">
        <f>Input_Data_Electrified!S13*State_Electricity_Factors!B13</f>
        <v>162.51400000000001</v>
      </c>
    </row>
    <row r="34" spans="1:15" ht="15.75" customHeight="1" x14ac:dyDescent="0.2">
      <c r="A34" s="1" t="s">
        <v>27</v>
      </c>
      <c r="B34" s="1">
        <f t="array" ref="B34:J34">Input_Data_Electrified!$B14:$J14*TRANSPOSE(Impact_Factors!$C$2:$C$10)</f>
        <v>159.315</v>
      </c>
      <c r="C34" s="1">
        <v>13.375999999999999</v>
      </c>
      <c r="D34" s="1">
        <v>44.263500000000001</v>
      </c>
      <c r="E34" s="1">
        <v>2.9015999999999997</v>
      </c>
      <c r="F34" s="1">
        <v>1.8885100000000002E-2</v>
      </c>
      <c r="G34" s="1">
        <v>432.39000000000004</v>
      </c>
      <c r="H34" s="1">
        <v>0</v>
      </c>
      <c r="I34" s="1">
        <v>300.3</v>
      </c>
      <c r="J34" s="1">
        <v>0</v>
      </c>
      <c r="K34" s="1">
        <f>Input_Data_Electrified!K14*State_Electricity_Factors!B14</f>
        <v>693.46587519999991</v>
      </c>
      <c r="L34">
        <f>Input_Data_Electrified!P14*Impact_Factors!$C$11</f>
        <v>0</v>
      </c>
      <c r="M34">
        <f>Input_Data_Electrified!Q14*Impact_Factors!$C$11</f>
        <v>0</v>
      </c>
      <c r="N34">
        <f>Input_Data_Electrified!R14*State_Electricity_Factors!B14</f>
        <v>95.157999999999987</v>
      </c>
      <c r="O34">
        <f>Input_Data_Electrified!S14*State_Electricity_Factors!B14</f>
        <v>180.98150000000001</v>
      </c>
    </row>
    <row r="35" spans="1:15" ht="15.75" customHeight="1" x14ac:dyDescent="0.2">
      <c r="A35" s="1" t="s">
        <v>28</v>
      </c>
      <c r="B35" s="1">
        <f t="array" ref="B35:J35">Input_Data_Electrified!$B15:$J15*TRANSPOSE(Impact_Factors!$C$2:$C$10)</f>
        <v>97.549800000000005</v>
      </c>
      <c r="C35" s="1">
        <v>6.27</v>
      </c>
      <c r="D35" s="1">
        <v>33.706499999999998</v>
      </c>
      <c r="E35" s="1">
        <v>33.0336</v>
      </c>
      <c r="F35" s="1">
        <v>2.3440300000000001E-2</v>
      </c>
      <c r="G35" s="1">
        <v>341.565</v>
      </c>
      <c r="H35" s="1">
        <v>0</v>
      </c>
      <c r="I35" s="1">
        <v>846.30000000000007</v>
      </c>
      <c r="J35" s="1">
        <v>0</v>
      </c>
      <c r="K35" s="1">
        <f>Input_Data_Electrified!K15*State_Electricity_Factors!B15</f>
        <v>268.0781824</v>
      </c>
      <c r="L35">
        <f>Input_Data_Electrified!P15*Impact_Factors!$C$11</f>
        <v>0</v>
      </c>
      <c r="M35">
        <f>Input_Data_Electrified!Q15*Impact_Factors!$C$11</f>
        <v>0</v>
      </c>
      <c r="N35">
        <f>Input_Data_Electrified!R15*State_Electricity_Factors!B15</f>
        <v>62.143999999999998</v>
      </c>
      <c r="O35">
        <f>Input_Data_Electrified!S15*State_Electricity_Factors!B15</f>
        <v>118.19200000000001</v>
      </c>
    </row>
    <row r="36" spans="1:15" ht="15.75" customHeight="1" x14ac:dyDescent="0.2">
      <c r="A36" s="1" t="s">
        <v>29</v>
      </c>
      <c r="B36" s="1">
        <f t="array" ref="B36:J36">Input_Data_Electrified!$B16:$J16*TRANSPOSE(Impact_Factors!$C$2:$C$10)</f>
        <v>74.755499999999998</v>
      </c>
      <c r="C36" s="1">
        <v>14.420999999999998</v>
      </c>
      <c r="D36" s="1">
        <v>43.527499999999996</v>
      </c>
      <c r="E36" s="1">
        <v>21.253600000000002</v>
      </c>
      <c r="F36" s="1">
        <v>1.3285999999999999E-2</v>
      </c>
      <c r="G36" s="1">
        <v>254.31</v>
      </c>
      <c r="H36" s="1">
        <v>0</v>
      </c>
      <c r="I36" s="1">
        <v>627.9</v>
      </c>
      <c r="J36" s="1">
        <v>0</v>
      </c>
      <c r="K36" s="1">
        <f>Input_Data_Electrified!K16*State_Electricity_Factors!B16</f>
        <v>204.12820159999998</v>
      </c>
      <c r="L36">
        <f>Input_Data_Electrified!P16*Impact_Factors!$C$11</f>
        <v>0</v>
      </c>
      <c r="M36">
        <f>Input_Data_Electrified!Q16*Impact_Factors!$C$11</f>
        <v>0</v>
      </c>
      <c r="N36">
        <f>Input_Data_Electrified!R16*State_Electricity_Factors!B16</f>
        <v>89.331999999999994</v>
      </c>
      <c r="O36">
        <f>Input_Data_Electrified!S16*State_Electricity_Factors!B16</f>
        <v>169.90100000000001</v>
      </c>
    </row>
    <row r="37" spans="1:15" ht="15.75" customHeight="1" x14ac:dyDescent="0.2">
      <c r="A37" s="1" t="s">
        <v>30</v>
      </c>
      <c r="B37" s="1">
        <f t="array" ref="B37:J37">Input_Data_Electrified!$B17:$J17*TRANSPOSE(Impact_Factors!$C$2:$C$10)</f>
        <v>139.70700000000002</v>
      </c>
      <c r="C37" s="1">
        <v>13.584999999999999</v>
      </c>
      <c r="D37" s="1">
        <v>35.270499999999998</v>
      </c>
      <c r="E37" s="1">
        <v>1.4849000000000001</v>
      </c>
      <c r="F37" s="1">
        <v>9.5849000000000004E-3</v>
      </c>
      <c r="G37" s="1">
        <v>299.88</v>
      </c>
      <c r="H37" s="1">
        <v>0</v>
      </c>
      <c r="I37" s="1">
        <v>191.1</v>
      </c>
      <c r="J37" s="1">
        <v>0</v>
      </c>
      <c r="K37" s="1">
        <f>Input_Data_Electrified!K17*State_Electricity_Factors!B17</f>
        <v>984.07534879999992</v>
      </c>
      <c r="L37">
        <f>Input_Data_Electrified!P17*Impact_Factors!$C$11</f>
        <v>0</v>
      </c>
      <c r="M37">
        <f>Input_Data_Electrified!Q17*Impact_Factors!$C$11</f>
        <v>0</v>
      </c>
      <c r="N37">
        <f>Input_Data_Electrified!R17*State_Electricity_Factors!B17</f>
        <v>114.57799999999999</v>
      </c>
      <c r="O37">
        <f>Input_Data_Electrified!S17*State_Electricity_Factors!B17</f>
        <v>217.91650000000001</v>
      </c>
    </row>
    <row r="38" spans="1:15" ht="15.75" customHeight="1" x14ac:dyDescent="0.2">
      <c r="A38" s="1" t="s">
        <v>31</v>
      </c>
      <c r="B38" s="1">
        <f t="array" ref="B38:J38">Input_Data_Electrified!$B18:$J18*TRANSPOSE(Impact_Factors!$C$2:$C$10)</f>
        <v>95.588999999999999</v>
      </c>
      <c r="C38" s="1">
        <v>14.629999999999997</v>
      </c>
      <c r="D38" s="1">
        <v>35.603999999999999</v>
      </c>
      <c r="E38" s="1">
        <v>12.8619</v>
      </c>
      <c r="F38" s="1">
        <v>1.38554E-2</v>
      </c>
      <c r="G38" s="1">
        <v>304.185</v>
      </c>
      <c r="H38" s="1">
        <v>0</v>
      </c>
      <c r="I38" s="1">
        <v>737.1</v>
      </c>
      <c r="J38" s="1">
        <v>0</v>
      </c>
      <c r="K38" s="1">
        <f>Input_Data_Electrified!K18*State_Electricity_Factors!B18</f>
        <v>286.7109648</v>
      </c>
      <c r="L38">
        <f>Input_Data_Electrified!P18*Impact_Factors!$C$11</f>
        <v>0</v>
      </c>
      <c r="M38">
        <f>Input_Data_Electrified!Q18*Impact_Factors!$C$11</f>
        <v>0</v>
      </c>
      <c r="N38">
        <f>Input_Data_Electrified!R18*State_Electricity_Factors!B18</f>
        <v>75.738</v>
      </c>
      <c r="O38">
        <f>Input_Data_Electrified!S18*State_Electricity_Factors!B18</f>
        <v>144.04650000000001</v>
      </c>
    </row>
    <row r="39" spans="1:15" ht="15.75" customHeight="1" x14ac:dyDescent="0.2"/>
    <row r="40" spans="1:15" ht="15.75" customHeight="1" x14ac:dyDescent="0.2"/>
    <row r="41" spans="1:15" ht="15.75" customHeight="1" x14ac:dyDescent="0.2"/>
    <row r="42" spans="1:15" ht="15.75" customHeight="1" x14ac:dyDescent="0.2"/>
    <row r="43" spans="1:15" ht="15.75" customHeight="1" x14ac:dyDescent="0.2"/>
    <row r="44" spans="1:15" ht="15.75" customHeight="1" x14ac:dyDescent="0.2"/>
    <row r="45" spans="1:15" ht="15.75" customHeight="1" x14ac:dyDescent="0.2"/>
    <row r="46" spans="1:15" ht="15.75" customHeight="1" x14ac:dyDescent="0.2"/>
    <row r="47" spans="1:15" ht="15.75" customHeight="1" x14ac:dyDescent="0.2"/>
    <row r="48" spans="1:1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00"/>
  <sheetViews>
    <sheetView workbookViewId="0"/>
  </sheetViews>
  <sheetFormatPr baseColWidth="10" defaultColWidth="11.1640625" defaultRowHeight="15" customHeight="1" x14ac:dyDescent="0.2"/>
  <cols>
    <col min="1" max="1" width="10.5" customWidth="1"/>
    <col min="2" max="2" width="19.83203125" customWidth="1"/>
    <col min="3" max="26" width="10.5" customWidth="1"/>
  </cols>
  <sheetData>
    <row r="1" spans="1:15" ht="15.75" customHeight="1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6" t="s">
        <v>113</v>
      </c>
      <c r="M1" s="6" t="s">
        <v>114</v>
      </c>
      <c r="N1" s="6" t="s">
        <v>115</v>
      </c>
      <c r="O1" s="6" t="s">
        <v>116</v>
      </c>
    </row>
    <row r="2" spans="1:15" ht="15.75" customHeight="1" x14ac:dyDescent="0.2">
      <c r="A2" s="1" t="s">
        <v>15</v>
      </c>
      <c r="B2" s="1">
        <f t="array" ref="B2:J2">Input_Data!$B2:$J2*TRANSPOSE(Impact_Factors!$D$2:$D$10)</f>
        <v>1252.1499999999999</v>
      </c>
      <c r="C2" s="1">
        <v>85.960000000000008</v>
      </c>
      <c r="D2" s="1">
        <v>677.28000000000009</v>
      </c>
      <c r="E2" s="1">
        <v>549.22389999999996</v>
      </c>
      <c r="F2" s="1">
        <v>0.1908</v>
      </c>
      <c r="G2" s="1">
        <v>5226.6499999999996</v>
      </c>
      <c r="H2" s="1">
        <v>1166.2896000000001</v>
      </c>
      <c r="I2" s="1">
        <v>0</v>
      </c>
      <c r="J2" s="1">
        <v>0</v>
      </c>
      <c r="K2" s="1">
        <f>Input_Data!K2*State_Electricity_Factors!C2</f>
        <v>2521.147877212743</v>
      </c>
      <c r="L2">
        <f>Input_Data!P2*Impact_Factors!$D$11</f>
        <v>129.19999999999999</v>
      </c>
      <c r="M2">
        <f>Input_Data!Q2*Impact_Factors!$D$11</f>
        <v>680.19999999999993</v>
      </c>
      <c r="N2">
        <f>Input_Data!R2*State_Electricity_Factors!C2</f>
        <v>1171.1031366955001</v>
      </c>
      <c r="O2">
        <f>Input_Data!S2*State_Electricity_Factors!C2</f>
        <v>1340.3035267922</v>
      </c>
    </row>
    <row r="3" spans="1:15" ht="15.75" customHeight="1" x14ac:dyDescent="0.2">
      <c r="A3" s="1" t="s">
        <v>16</v>
      </c>
      <c r="B3" s="1">
        <f t="array" ref="B3:J3">Input_Data!$B3:$J3*TRANSPOSE(Impact_Factors!$D$2:$D$10)</f>
        <v>568.79999999999995</v>
      </c>
      <c r="C3" s="1">
        <v>55.26</v>
      </c>
      <c r="D3" s="1">
        <v>170.67999999999998</v>
      </c>
      <c r="E3" s="1">
        <v>7.9143000000000008</v>
      </c>
      <c r="F3" s="1">
        <v>4.3199999999999995E-2</v>
      </c>
      <c r="G3" s="1">
        <v>5595.7</v>
      </c>
      <c r="H3" s="1">
        <v>3308.5247999999992</v>
      </c>
      <c r="I3" s="1">
        <v>0</v>
      </c>
      <c r="J3" s="1">
        <v>0</v>
      </c>
      <c r="K3" s="1">
        <f>Input_Data!K3*State_Electricity_Factors!C3</f>
        <v>6737.5920656652588</v>
      </c>
      <c r="L3">
        <f>Input_Data!P3*Impact_Factors!$D$11</f>
        <v>129.19999999999999</v>
      </c>
      <c r="M3">
        <f>Input_Data!Q3*Impact_Factors!$D$11</f>
        <v>680.19999999999993</v>
      </c>
      <c r="N3">
        <f>Input_Data!R3*State_Electricity_Factors!C3</f>
        <v>1177.0095994119999</v>
      </c>
      <c r="O3">
        <f>Input_Data!S3*State_Electricity_Factors!C3</f>
        <v>1347.0633522608</v>
      </c>
    </row>
    <row r="4" spans="1:15" ht="15.75" customHeight="1" x14ac:dyDescent="0.2">
      <c r="A4" s="1" t="s">
        <v>17</v>
      </c>
      <c r="B4" s="1">
        <f t="array" ref="B4:J4">Input_Data!$B4:$J4*TRANSPOSE(Impact_Factors!$D$2:$D$10)</f>
        <v>995.4</v>
      </c>
      <c r="C4" s="1">
        <v>368.4</v>
      </c>
      <c r="D4" s="1">
        <v>543.66</v>
      </c>
      <c r="E4" s="1">
        <v>432.50579999999997</v>
      </c>
      <c r="F4" s="1">
        <v>0.25919999999999999</v>
      </c>
      <c r="G4" s="1">
        <v>5627.05</v>
      </c>
      <c r="H4" s="1">
        <v>2457.1680000000001</v>
      </c>
      <c r="I4" s="1">
        <v>0</v>
      </c>
      <c r="J4" s="1">
        <v>0</v>
      </c>
      <c r="K4" s="1">
        <f>Input_Data!K4*State_Electricity_Factors!C4</f>
        <v>3384.8343147251644</v>
      </c>
      <c r="L4">
        <f>Input_Data!P4*Impact_Factors!$D$11</f>
        <v>129.19999999999999</v>
      </c>
      <c r="M4">
        <f>Input_Data!Q4*Impact_Factors!$D$11</f>
        <v>680.19999999999993</v>
      </c>
      <c r="N4">
        <f>Input_Data!R4*State_Electricity_Factors!C4</f>
        <v>1327.6665345604999</v>
      </c>
      <c r="O4">
        <f>Input_Data!S4*State_Electricity_Factors!C4</f>
        <v>1519.4871253582</v>
      </c>
    </row>
    <row r="5" spans="1:15" ht="15.75" customHeight="1" x14ac:dyDescent="0.2">
      <c r="A5" s="1" t="s">
        <v>18</v>
      </c>
      <c r="B5" s="1">
        <f t="array" ref="B5:J5">Input_Data!$B5:$J5*TRANSPOSE(Impact_Factors!$D$2:$D$10)</f>
        <v>501.65000000000003</v>
      </c>
      <c r="C5" s="1">
        <v>144.29</v>
      </c>
      <c r="D5" s="1">
        <v>71.06</v>
      </c>
      <c r="E5" s="1">
        <v>60.391100000000002</v>
      </c>
      <c r="F5" s="1">
        <v>0.15479999999999999</v>
      </c>
      <c r="G5" s="1">
        <v>3616.8</v>
      </c>
      <c r="H5" s="1">
        <v>3284.2991999999999</v>
      </c>
      <c r="I5" s="1">
        <v>0</v>
      </c>
      <c r="J5" s="1">
        <v>0</v>
      </c>
      <c r="K5" s="1">
        <f>Input_Data!K5*State_Electricity_Factors!C5</f>
        <v>2997.95460031837</v>
      </c>
      <c r="L5">
        <f>Input_Data!P5*Impact_Factors!$D$11</f>
        <v>129.19999999999999</v>
      </c>
      <c r="M5">
        <f>Input_Data!Q5*Impact_Factors!$D$11</f>
        <v>680.19999999999993</v>
      </c>
      <c r="N5">
        <f>Input_Data!R5*State_Electricity_Factors!C5</f>
        <v>1004.1261800994999</v>
      </c>
      <c r="O5">
        <f>Input_Data!S5*State_Electricity_Factors!C5</f>
        <v>1149.2018237857999</v>
      </c>
    </row>
    <row r="6" spans="1:15" ht="15.75" customHeight="1" x14ac:dyDescent="0.2">
      <c r="A6" s="1" t="s">
        <v>19</v>
      </c>
      <c r="B6" s="1">
        <f t="array" ref="B6:J6">Input_Data!$B6:$J6*TRANSPOSE(Impact_Factors!$D$2:$D$10)</f>
        <v>1540.5</v>
      </c>
      <c r="C6" s="1">
        <v>214.89999999999998</v>
      </c>
      <c r="D6" s="1">
        <v>526.32000000000005</v>
      </c>
      <c r="E6" s="1">
        <v>295.82370000000003</v>
      </c>
      <c r="F6" s="1">
        <v>0.17519999999999999</v>
      </c>
      <c r="G6" s="1">
        <v>4780.05</v>
      </c>
      <c r="H6" s="1">
        <v>3813.8015999999998</v>
      </c>
      <c r="I6" s="1">
        <v>0</v>
      </c>
      <c r="J6" s="1">
        <v>0</v>
      </c>
      <c r="K6" s="1">
        <f>Input_Data!K6*State_Electricity_Factors!C6</f>
        <v>3268.3741216665881</v>
      </c>
      <c r="L6">
        <f>Input_Data!P6*Impact_Factors!$D$11</f>
        <v>129.19999999999999</v>
      </c>
      <c r="M6">
        <f>Input_Data!Q6*Impact_Factors!$D$11</f>
        <v>680.19999999999993</v>
      </c>
      <c r="N6">
        <f>Input_Data!R6*State_Electricity_Factors!C6</f>
        <v>1357.5600121075001</v>
      </c>
      <c r="O6">
        <f>Input_Data!S6*State_Electricity_Factors!C6</f>
        <v>1553.6995974530003</v>
      </c>
    </row>
    <row r="7" spans="1:15" ht="15.75" customHeight="1" x14ac:dyDescent="0.2">
      <c r="A7" s="1" t="s">
        <v>20</v>
      </c>
      <c r="B7" s="1">
        <f t="array" ref="B7:J7">Input_Data!$B7:$J7*TRANSPOSE(Impact_Factors!$D$2:$D$10)</f>
        <v>1098.0999999999999</v>
      </c>
      <c r="C7" s="1">
        <v>92.1</v>
      </c>
      <c r="D7" s="1">
        <v>757.18</v>
      </c>
      <c r="E7" s="1">
        <v>557.92250000000001</v>
      </c>
      <c r="F7" s="1">
        <v>0.19320000000000001</v>
      </c>
      <c r="G7" s="1">
        <v>4816.3499999999995</v>
      </c>
      <c r="H7" s="1">
        <v>1951.8911999999998</v>
      </c>
      <c r="I7" s="1">
        <v>0</v>
      </c>
      <c r="J7" s="1">
        <v>0</v>
      </c>
      <c r="K7" s="1">
        <f>Input_Data!K7*State_Electricity_Factors!C7</f>
        <v>4789.0700859984036</v>
      </c>
      <c r="L7">
        <f>Input_Data!P7*Impact_Factors!$D$11</f>
        <v>129.19999999999999</v>
      </c>
      <c r="M7">
        <f>Input_Data!Q7*Impact_Factors!$D$11</f>
        <v>680.19999999999993</v>
      </c>
      <c r="N7">
        <f>Input_Data!R7*State_Electricity_Factors!C7</f>
        <v>1242.8474826815</v>
      </c>
      <c r="O7">
        <f>Input_Data!S7*State_Electricity_Factors!C7</f>
        <v>1422.4134596746001</v>
      </c>
    </row>
    <row r="8" spans="1:15" ht="15.75" customHeight="1" x14ac:dyDescent="0.2">
      <c r="A8" s="1" t="s">
        <v>21</v>
      </c>
      <c r="B8" s="1">
        <f t="array" ref="B8:J8">Input_Data!$B8:$J8*TRANSPOSE(Impact_Factors!$D$2:$D$10)</f>
        <v>1540.5</v>
      </c>
      <c r="C8" s="1">
        <v>214.89999999999998</v>
      </c>
      <c r="D8" s="1">
        <v>526.32000000000005</v>
      </c>
      <c r="E8" s="1">
        <v>295.82370000000003</v>
      </c>
      <c r="F8" s="1">
        <v>0.17519999999999999</v>
      </c>
      <c r="G8" s="1">
        <v>4780.05</v>
      </c>
      <c r="H8" s="1">
        <v>3505.7903999999999</v>
      </c>
      <c r="I8" s="1">
        <v>0</v>
      </c>
      <c r="J8" s="1">
        <v>0</v>
      </c>
      <c r="K8" s="1">
        <f>Input_Data!K8*State_Electricity_Factors!C8</f>
        <v>6916.0331089983611</v>
      </c>
      <c r="L8">
        <f>Input_Data!P8*Impact_Factors!$D$11</f>
        <v>129.19999999999999</v>
      </c>
      <c r="M8">
        <f>Input_Data!Q8*Impact_Factors!$D$11</f>
        <v>680.19999999999993</v>
      </c>
      <c r="N8">
        <f>Input_Data!R8*State_Electricity_Factors!C8</f>
        <v>1134.3188814755001</v>
      </c>
      <c r="O8">
        <f>Input_Data!S8*State_Electricity_Factors!C8</f>
        <v>1298.2047009442001</v>
      </c>
    </row>
    <row r="9" spans="1:15" ht="15.75" customHeight="1" x14ac:dyDescent="0.2">
      <c r="A9" s="1" t="s">
        <v>22</v>
      </c>
      <c r="B9" s="1">
        <f t="array" ref="B9:J9">Input_Data!$B9:$J9*TRANSPOSE(Impact_Factors!$D$2:$D$10)</f>
        <v>1508.8999999999999</v>
      </c>
      <c r="C9" s="1">
        <v>448.21999999999997</v>
      </c>
      <c r="D9" s="1">
        <v>580.71999999999991</v>
      </c>
      <c r="E9" s="1">
        <v>396.85579999999999</v>
      </c>
      <c r="F9" s="1">
        <v>0.20879999999999999</v>
      </c>
      <c r="G9" s="1">
        <v>3870.8999999999996</v>
      </c>
      <c r="H9" s="1">
        <v>2851.6992</v>
      </c>
      <c r="I9" s="1">
        <v>0</v>
      </c>
      <c r="J9" s="1">
        <v>0</v>
      </c>
      <c r="K9" s="1">
        <f>Input_Data!K9*State_Electricity_Factors!C9</f>
        <v>3972.1834027516679</v>
      </c>
      <c r="L9">
        <f>Input_Data!P9*Impact_Factors!$D$11</f>
        <v>129.19999999999999</v>
      </c>
      <c r="M9">
        <f>Input_Data!Q9*Impact_Factors!$D$11</f>
        <v>680.19999999999993</v>
      </c>
      <c r="N9">
        <f>Input_Data!R9*State_Electricity_Factors!C9</f>
        <v>1459.5354951644999</v>
      </c>
      <c r="O9">
        <f>Input_Data!S9*State_Electricity_Factors!C9</f>
        <v>1670.4084468318001</v>
      </c>
    </row>
    <row r="10" spans="1:15" ht="15.75" customHeight="1" x14ac:dyDescent="0.2">
      <c r="A10" s="1" t="s">
        <v>23</v>
      </c>
      <c r="B10" s="1">
        <f t="array" ref="B10:J10">Input_Data!$B10:$J10*TRANSPOSE(Impact_Factors!$D$2:$D$10)</f>
        <v>1299.55</v>
      </c>
      <c r="C10" s="1">
        <v>429.79999999999995</v>
      </c>
      <c r="D10" s="1">
        <v>339.66</v>
      </c>
      <c r="E10" s="1">
        <v>407.83600000000001</v>
      </c>
      <c r="F10" s="1">
        <v>0.18240000000000001</v>
      </c>
      <c r="G10" s="1">
        <v>4809.2</v>
      </c>
      <c r="H10" s="1">
        <v>2682.12</v>
      </c>
      <c r="I10" s="1">
        <v>0</v>
      </c>
      <c r="J10" s="1">
        <v>0</v>
      </c>
      <c r="K10" s="1">
        <f>Input_Data!K10*State_Electricity_Factors!C10</f>
        <v>3218.8415503499259</v>
      </c>
      <c r="L10">
        <f>Input_Data!P10*Impact_Factors!$D$11</f>
        <v>129.19999999999999</v>
      </c>
      <c r="M10">
        <f>Input_Data!Q10*Impact_Factors!$D$11</f>
        <v>680.19999999999993</v>
      </c>
      <c r="N10">
        <f>Input_Data!R10*State_Electricity_Factors!C10</f>
        <v>1329.5216558079999</v>
      </c>
      <c r="O10">
        <f>Input_Data!S10*State_Electricity_Factors!C10</f>
        <v>1521.6102735872</v>
      </c>
    </row>
    <row r="11" spans="1:15" ht="15.75" customHeight="1" x14ac:dyDescent="0.2">
      <c r="A11" s="1" t="s">
        <v>24</v>
      </c>
      <c r="B11" s="1">
        <f t="array" ref="B11:J11">Input_Data!$B11:$J11*TRANSPOSE(Impact_Factors!$D$2:$D$10)</f>
        <v>833.44999999999993</v>
      </c>
      <c r="C11" s="1">
        <v>279.37</v>
      </c>
      <c r="D11" s="1">
        <v>503.20000000000005</v>
      </c>
      <c r="E11" s="1">
        <v>348.58569999999997</v>
      </c>
      <c r="F11" s="1">
        <v>0.27119999999999994</v>
      </c>
      <c r="G11" s="1">
        <v>4285.6000000000004</v>
      </c>
      <c r="H11" s="1">
        <v>3246.2303999999995</v>
      </c>
      <c r="I11" s="1">
        <v>0</v>
      </c>
      <c r="J11" s="1">
        <v>0</v>
      </c>
      <c r="K11" s="1">
        <f>Input_Data!K11*State_Electricity_Factors!C11</f>
        <v>6067.4078710807744</v>
      </c>
      <c r="L11">
        <f>Input_Data!P11*Impact_Factors!$D$11</f>
        <v>129.19999999999999</v>
      </c>
      <c r="M11">
        <f>Input_Data!Q11*Impact_Factors!$D$11</f>
        <v>680.19999999999993</v>
      </c>
      <c r="N11">
        <f>Input_Data!R11*State_Electricity_Factors!C11</f>
        <v>1564.0477245980001</v>
      </c>
      <c r="O11">
        <f>Input_Data!S11*State_Electricity_Factors!C11</f>
        <v>1790.0205504232001</v>
      </c>
    </row>
    <row r="12" spans="1:15" ht="15.75" customHeight="1" x14ac:dyDescent="0.2">
      <c r="A12" s="1" t="s">
        <v>25</v>
      </c>
      <c r="B12" s="1">
        <f t="array" ref="B12:J12">Input_Data!$B12:$J12*TRANSPOSE(Impact_Factors!$D$2:$D$10)</f>
        <v>1540.5</v>
      </c>
      <c r="C12" s="1">
        <v>214.89999999999998</v>
      </c>
      <c r="D12" s="1">
        <v>526.32000000000005</v>
      </c>
      <c r="E12" s="1">
        <v>295.82370000000003</v>
      </c>
      <c r="F12" s="1">
        <v>0.17519999999999999</v>
      </c>
      <c r="G12" s="1">
        <v>4780.05</v>
      </c>
      <c r="H12" s="1">
        <v>6918.1392000000005</v>
      </c>
      <c r="I12" s="1">
        <v>0</v>
      </c>
      <c r="J12" s="1">
        <v>0</v>
      </c>
      <c r="K12" s="1">
        <f>Input_Data!K12*State_Electricity_Factors!C12</f>
        <v>16505.416340812186</v>
      </c>
      <c r="L12">
        <f>Input_Data!P12*Impact_Factors!$D$11</f>
        <v>129.19999999999999</v>
      </c>
      <c r="M12">
        <f>Input_Data!Q12*Impact_Factors!$D$11</f>
        <v>680.19999999999993</v>
      </c>
      <c r="N12">
        <f>Input_Data!R12*State_Electricity_Factors!C12</f>
        <v>1524.8494040620001</v>
      </c>
      <c r="O12">
        <f>Input_Data!S12*State_Electricity_Factors!C12</f>
        <v>1745.1588763208001</v>
      </c>
    </row>
    <row r="13" spans="1:15" ht="15.75" customHeight="1" x14ac:dyDescent="0.2">
      <c r="A13" s="1" t="s">
        <v>26</v>
      </c>
      <c r="B13" s="1">
        <f t="array" ref="B13:J13">Input_Data!$B13:$J13*TRANSPOSE(Impact_Factors!$D$2:$D$10)</f>
        <v>1303.5</v>
      </c>
      <c r="C13" s="1">
        <v>174.98999999999998</v>
      </c>
      <c r="D13" s="1">
        <v>372.64000000000004</v>
      </c>
      <c r="E13" s="1">
        <v>513.50259999999992</v>
      </c>
      <c r="F13" s="1">
        <v>0.17759999999999998</v>
      </c>
      <c r="G13" s="1">
        <v>4105.75</v>
      </c>
      <c r="H13" s="1">
        <v>2612.904</v>
      </c>
      <c r="I13" s="1">
        <v>0</v>
      </c>
      <c r="J13" s="1">
        <v>0</v>
      </c>
      <c r="K13" s="1">
        <f>Input_Data!K13*State_Electricity_Factors!C13</f>
        <v>5962.4049244478911</v>
      </c>
      <c r="L13">
        <f>Input_Data!P13*Impact_Factors!$D$11</f>
        <v>129.19999999999999</v>
      </c>
      <c r="M13">
        <f>Input_Data!Q13*Impact_Factors!$D$11</f>
        <v>680.19999999999993</v>
      </c>
      <c r="N13">
        <f>Input_Data!R13*State_Electricity_Factors!C13</f>
        <v>1152.7737828520001</v>
      </c>
      <c r="O13">
        <f>Input_Data!S13*State_Electricity_Factors!C13</f>
        <v>1319.3259571568001</v>
      </c>
    </row>
    <row r="14" spans="1:15" ht="15.75" customHeight="1" x14ac:dyDescent="0.2">
      <c r="A14" s="1" t="s">
        <v>27</v>
      </c>
      <c r="B14" s="1">
        <f t="array" ref="B14:J14">Input_Data!$B14:$J14*TRANSPOSE(Impact_Factors!$D$2:$D$10)</f>
        <v>2567.5</v>
      </c>
      <c r="C14" s="1">
        <v>196.48000000000002</v>
      </c>
      <c r="D14" s="1">
        <v>654.33000000000004</v>
      </c>
      <c r="E14" s="1">
        <v>66.736799999999988</v>
      </c>
      <c r="F14" s="1">
        <v>0.23879999999999998</v>
      </c>
      <c r="G14" s="1">
        <v>6794.7000000000007</v>
      </c>
      <c r="H14" s="1">
        <v>3955.6943999999999</v>
      </c>
      <c r="I14" s="1">
        <v>0</v>
      </c>
      <c r="J14" s="1">
        <v>0</v>
      </c>
      <c r="K14" s="1">
        <f>Input_Data!K14*State_Electricity_Factors!C14</f>
        <v>7705.584250075196</v>
      </c>
      <c r="L14">
        <f>Input_Data!P14*Impact_Factors!$D$11</f>
        <v>129.19999999999999</v>
      </c>
      <c r="M14">
        <f>Input_Data!Q14*Impact_Factors!$D$11</f>
        <v>680.19999999999993</v>
      </c>
      <c r="N14">
        <f>Input_Data!R14*State_Electricity_Factors!C14</f>
        <v>1220.321748457</v>
      </c>
      <c r="O14">
        <f>Input_Data!S14*State_Electricity_Factors!C14</f>
        <v>1396.6332187388</v>
      </c>
    </row>
    <row r="15" spans="1:15" ht="15.75" customHeight="1" x14ac:dyDescent="0.2">
      <c r="A15" s="1" t="s">
        <v>28</v>
      </c>
      <c r="B15" s="1">
        <f t="array" ref="B15:J15">Input_Data!$B15:$J15*TRANSPOSE(Impact_Factors!$D$2:$D$10)</f>
        <v>1572.1</v>
      </c>
      <c r="C15" s="1">
        <v>92.1</v>
      </c>
      <c r="D15" s="1">
        <v>498.27</v>
      </c>
      <c r="E15" s="1">
        <v>759.77279999999996</v>
      </c>
      <c r="F15" s="1">
        <v>0.2964</v>
      </c>
      <c r="G15" s="1">
        <v>5367.45</v>
      </c>
      <c r="H15" s="1">
        <v>2256.4416000000001</v>
      </c>
      <c r="I15" s="1">
        <v>0</v>
      </c>
      <c r="J15" s="1">
        <v>0</v>
      </c>
      <c r="K15" s="1">
        <f>Input_Data!K15*State_Electricity_Factors!C15</f>
        <v>3920.8489955027035</v>
      </c>
      <c r="L15">
        <f>Input_Data!P15*Impact_Factors!$D$11</f>
        <v>129.19999999999999</v>
      </c>
      <c r="M15">
        <f>Input_Data!Q15*Impact_Factors!$D$11</f>
        <v>680.19999999999993</v>
      </c>
      <c r="N15">
        <f>Input_Data!R15*State_Electricity_Factors!C15</f>
        <v>1033.4234505449999</v>
      </c>
      <c r="O15">
        <f>Input_Data!S15*State_Electricity_Factors!C15</f>
        <v>1182.7319490780001</v>
      </c>
    </row>
    <row r="16" spans="1:15" ht="15.75" customHeight="1" x14ac:dyDescent="0.2">
      <c r="A16" s="1" t="s">
        <v>29</v>
      </c>
      <c r="B16" s="1">
        <f t="array" ref="B16:J16">Input_Data!$B16:$J16*TRANSPOSE(Impact_Factors!$D$2:$D$10)</f>
        <v>1204.75</v>
      </c>
      <c r="C16" s="1">
        <v>211.82999999999998</v>
      </c>
      <c r="D16" s="1">
        <v>643.45000000000005</v>
      </c>
      <c r="E16" s="1">
        <v>488.83280000000002</v>
      </c>
      <c r="F16" s="1">
        <v>0.16799999999999998</v>
      </c>
      <c r="G16" s="1">
        <v>3996.2999999999997</v>
      </c>
      <c r="H16" s="1">
        <v>903.26879999999994</v>
      </c>
      <c r="I16" s="1">
        <v>0</v>
      </c>
      <c r="J16" s="1">
        <v>0</v>
      </c>
      <c r="K16" s="1">
        <f>Input_Data!K16*State_Electricity_Factors!C16</f>
        <v>2527.1439747945915</v>
      </c>
      <c r="L16">
        <f>Input_Data!P16*Impact_Factors!$D$11</f>
        <v>129.19999999999999</v>
      </c>
      <c r="M16">
        <f>Input_Data!Q16*Impact_Factors!$D$11</f>
        <v>680.19999999999993</v>
      </c>
      <c r="N16">
        <f>Input_Data!R16*State_Electricity_Factors!C16</f>
        <v>1147.29097114</v>
      </c>
      <c r="O16">
        <f>Input_Data!S16*State_Electricity_Factors!C16</f>
        <v>1313.0509915760001</v>
      </c>
    </row>
    <row r="17" spans="1:15" ht="15.75" customHeight="1" x14ac:dyDescent="0.2">
      <c r="A17" s="1" t="s">
        <v>30</v>
      </c>
      <c r="B17" s="1">
        <f t="array" ref="B17:J17">Input_Data!$B17:$J17*TRANSPOSE(Impact_Factors!$D$2:$D$10)</f>
        <v>2251.5</v>
      </c>
      <c r="C17" s="1">
        <v>199.55</v>
      </c>
      <c r="D17" s="1">
        <v>521.39</v>
      </c>
      <c r="E17" s="1">
        <v>34.152700000000003</v>
      </c>
      <c r="F17" s="1">
        <v>0.1212</v>
      </c>
      <c r="G17" s="1">
        <v>4712.4000000000005</v>
      </c>
      <c r="H17" s="1">
        <v>6547.833599999999</v>
      </c>
      <c r="I17" s="1">
        <v>0</v>
      </c>
      <c r="J17" s="1">
        <v>0</v>
      </c>
      <c r="K17" s="1">
        <f>Input_Data!K17*State_Electricity_Factors!C17</f>
        <v>8342.0971825717079</v>
      </c>
      <c r="L17">
        <f>Input_Data!P17*Impact_Factors!$D$11</f>
        <v>129.19999999999999</v>
      </c>
      <c r="M17">
        <f>Input_Data!Q17*Impact_Factors!$D$11</f>
        <v>680.19999999999993</v>
      </c>
      <c r="N17">
        <f>Input_Data!R17*State_Electricity_Factors!C17</f>
        <v>1346.5124101060001</v>
      </c>
      <c r="O17">
        <f>Input_Data!S17*State_Electricity_Factors!C17</f>
        <v>1541.0558434904001</v>
      </c>
    </row>
    <row r="18" spans="1:15" ht="15.75" customHeight="1" x14ac:dyDescent="0.2">
      <c r="A18" s="1" t="s">
        <v>31</v>
      </c>
      <c r="B18" s="1">
        <f t="array" ref="B18:J18">Input_Data!$B18:$J18*TRANSPOSE(Impact_Factors!$D$2:$D$10)</f>
        <v>1540.5</v>
      </c>
      <c r="C18" s="1">
        <v>214.89999999999998</v>
      </c>
      <c r="D18" s="1">
        <v>526.32000000000005</v>
      </c>
      <c r="E18" s="1">
        <v>295.82370000000003</v>
      </c>
      <c r="F18" s="1">
        <v>0.17519999999999999</v>
      </c>
      <c r="G18" s="1">
        <v>4780.05</v>
      </c>
      <c r="H18" s="1">
        <v>1685.4096</v>
      </c>
      <c r="I18" s="1">
        <v>0</v>
      </c>
      <c r="J18" s="1">
        <v>0</v>
      </c>
      <c r="K18" s="1">
        <f>Input_Data!K18*State_Electricity_Factors!C18</f>
        <v>4142.7892314664132</v>
      </c>
      <c r="L18">
        <f>Input_Data!P18*Impact_Factors!$D$11</f>
        <v>129.19999999999999</v>
      </c>
      <c r="M18">
        <f>Input_Data!Q18*Impact_Factors!$D$11</f>
        <v>680.19999999999993</v>
      </c>
      <c r="N18">
        <f>Input_Data!R18*State_Electricity_Factors!C18</f>
        <v>1175.5179351485001</v>
      </c>
      <c r="O18">
        <f>Input_Data!S18*State_Electricity_Factors!C18</f>
        <v>1345.3561730974002</v>
      </c>
    </row>
    <row r="19" spans="1:15" ht="15.75" customHeight="1" x14ac:dyDescent="0.2">
      <c r="A19" s="1" t="s">
        <v>82</v>
      </c>
      <c r="B19" s="1" t="s">
        <v>82</v>
      </c>
    </row>
    <row r="20" spans="1:15" ht="15.75" customHeight="1" x14ac:dyDescent="0.2">
      <c r="A20" s="1" t="s">
        <v>83</v>
      </c>
    </row>
    <row r="21" spans="1:15" ht="15.75" customHeight="1" x14ac:dyDescent="0.2">
      <c r="A21" s="1" t="s">
        <v>0</v>
      </c>
      <c r="B21" s="1" t="s">
        <v>84</v>
      </c>
      <c r="C21" s="1" t="s">
        <v>85</v>
      </c>
      <c r="D21" s="1" t="s">
        <v>86</v>
      </c>
      <c r="E21" s="1" t="s">
        <v>87</v>
      </c>
      <c r="F21" s="1" t="s">
        <v>88</v>
      </c>
      <c r="G21" s="1" t="s">
        <v>89</v>
      </c>
      <c r="H21" s="1" t="s">
        <v>90</v>
      </c>
      <c r="I21" s="1" t="s">
        <v>91</v>
      </c>
      <c r="J21" s="1" t="s">
        <v>92</v>
      </c>
      <c r="K21" s="1" t="s">
        <v>93</v>
      </c>
      <c r="L21" s="6" t="s">
        <v>113</v>
      </c>
      <c r="M21" s="6" t="s">
        <v>114</v>
      </c>
      <c r="N21" s="6" t="s">
        <v>115</v>
      </c>
      <c r="O21" s="6" t="s">
        <v>116</v>
      </c>
    </row>
    <row r="22" spans="1:15" ht="15.75" customHeight="1" x14ac:dyDescent="0.2">
      <c r="A22" s="1" t="s">
        <v>15</v>
      </c>
      <c r="B22" s="1">
        <f t="array" ref="B22:J22">Input_Data_Electrified!$B2:$J2*TRANSPOSE(Impact_Factors!$D$2:$D$10)</f>
        <v>1252.1499999999999</v>
      </c>
      <c r="C22" s="1">
        <v>85.960000000000008</v>
      </c>
      <c r="D22" s="1">
        <v>677.28000000000009</v>
      </c>
      <c r="E22" s="1">
        <v>549.22389999999996</v>
      </c>
      <c r="F22" s="1">
        <v>0.1908</v>
      </c>
      <c r="G22" s="1">
        <v>5226.6499999999996</v>
      </c>
      <c r="H22" s="1">
        <v>0</v>
      </c>
      <c r="I22" s="1">
        <v>0</v>
      </c>
      <c r="J22" s="1">
        <v>0</v>
      </c>
      <c r="K22" s="1">
        <f>Input_Data_Electrified!K2*State_Electricity_Factors!C2</f>
        <v>3423.9148591811218</v>
      </c>
      <c r="L22">
        <f>Input_Data_Electrified!P2*Impact_Factors!$D$11</f>
        <v>0</v>
      </c>
      <c r="M22">
        <f>Input_Data_Electrified!Q2*Impact_Factors!$D$11</f>
        <v>0</v>
      </c>
      <c r="N22">
        <f>Input_Data_Electrified!R2*State_Electricity_Factors!C2</f>
        <v>1434.8784173265999</v>
      </c>
      <c r="O22">
        <f>Input_Data_Electrified!S2*State_Electricity_Factors!C2</f>
        <v>2729.0027983500504</v>
      </c>
    </row>
    <row r="23" spans="1:15" ht="15.75" customHeight="1" x14ac:dyDescent="0.2">
      <c r="A23" s="1" t="s">
        <v>16</v>
      </c>
      <c r="B23" s="1">
        <f t="array" ref="B23:J23">Input_Data_Electrified!$B3:$J3*TRANSPOSE(Impact_Factors!$D$2:$D$10)</f>
        <v>568.79999999999995</v>
      </c>
      <c r="C23" s="1">
        <v>55.26</v>
      </c>
      <c r="D23" s="1">
        <v>170.67999999999998</v>
      </c>
      <c r="E23" s="1">
        <v>7.9143000000000008</v>
      </c>
      <c r="F23" s="1">
        <v>4.3199999999999995E-2</v>
      </c>
      <c r="G23" s="1">
        <v>5595.7</v>
      </c>
      <c r="H23" s="1">
        <v>0</v>
      </c>
      <c r="I23" s="1">
        <v>0</v>
      </c>
      <c r="J23" s="1">
        <v>0</v>
      </c>
      <c r="K23" s="1">
        <f>Input_Data_Electrified!K3*State_Electricity_Factors!C3</f>
        <v>9311.4733902510688</v>
      </c>
      <c r="L23">
        <f>Input_Data_Electrified!P3*Impact_Factors!$D$11</f>
        <v>0</v>
      </c>
      <c r="M23">
        <f>Input_Data_Electrified!Q3*Impact_Factors!$D$11</f>
        <v>0</v>
      </c>
      <c r="N23">
        <f>Input_Data_Electrified!R3*State_Electricity_Factors!C3</f>
        <v>1442.1152315823999</v>
      </c>
      <c r="O23">
        <f>Input_Data_Electrified!S3*State_Electricity_Factors!C3</f>
        <v>2742.7665333932</v>
      </c>
    </row>
    <row r="24" spans="1:15" ht="15.75" customHeight="1" x14ac:dyDescent="0.2">
      <c r="A24" s="1" t="s">
        <v>17</v>
      </c>
      <c r="B24" s="1">
        <f t="array" ref="B24:J24">Input_Data_Electrified!$B4:$J4*TRANSPOSE(Impact_Factors!$D$2:$D$10)</f>
        <v>995.4</v>
      </c>
      <c r="C24" s="1">
        <v>368.4</v>
      </c>
      <c r="D24" s="1">
        <v>543.66</v>
      </c>
      <c r="E24" s="1">
        <v>432.50579999999997</v>
      </c>
      <c r="F24" s="1">
        <v>0.25919999999999999</v>
      </c>
      <c r="G24" s="1">
        <v>5627.05</v>
      </c>
      <c r="H24" s="1">
        <v>0</v>
      </c>
      <c r="I24" s="1">
        <v>0</v>
      </c>
      <c r="J24" s="1">
        <v>0</v>
      </c>
      <c r="K24" s="1">
        <f>Input_Data_Electrified!K4*State_Electricity_Factors!C4</f>
        <v>5541.0786865035934</v>
      </c>
      <c r="L24">
        <f>Input_Data_Electrified!P4*Impact_Factors!$D$11</f>
        <v>0</v>
      </c>
      <c r="M24">
        <f>Input_Data_Electrified!Q4*Impact_Factors!$D$11</f>
        <v>0</v>
      </c>
      <c r="N24">
        <f>Input_Data_Electrified!R4*State_Electricity_Factors!C4</f>
        <v>1626.7056215245998</v>
      </c>
      <c r="O24">
        <f>Input_Data_Electrified!S4*State_Electricity_Factors!C4</f>
        <v>3093.83996555155</v>
      </c>
    </row>
    <row r="25" spans="1:15" ht="15.75" customHeight="1" x14ac:dyDescent="0.2">
      <c r="A25" s="1" t="s">
        <v>18</v>
      </c>
      <c r="B25" s="1">
        <f t="array" ref="B25:J25">Input_Data_Electrified!$B5:$J5*TRANSPOSE(Impact_Factors!$D$2:$D$10)</f>
        <v>501.65000000000003</v>
      </c>
      <c r="C25" s="1">
        <v>144.29</v>
      </c>
      <c r="D25" s="1">
        <v>71.06</v>
      </c>
      <c r="E25" s="1">
        <v>60.391100000000002</v>
      </c>
      <c r="F25" s="1">
        <v>0.15479999999999999</v>
      </c>
      <c r="G25" s="1">
        <v>3616.8</v>
      </c>
      <c r="H25" s="1">
        <v>0</v>
      </c>
      <c r="I25" s="1">
        <v>0</v>
      </c>
      <c r="J25" s="1">
        <v>0</v>
      </c>
      <c r="K25" s="1">
        <f>Input_Data_Electrified!K5*State_Electricity_Factors!C5</f>
        <v>5177.6967610513293</v>
      </c>
      <c r="L25">
        <f>Input_Data_Electrified!P5*Impact_Factors!$D$11</f>
        <v>0</v>
      </c>
      <c r="M25">
        <f>Input_Data_Electrified!Q5*Impact_Factors!$D$11</f>
        <v>0</v>
      </c>
      <c r="N25">
        <f>Input_Data_Electrified!R5*State_Electricity_Factors!C5</f>
        <v>1230.2921399073998</v>
      </c>
      <c r="O25">
        <f>Input_Data_Electrified!S5*State_Electricity_Factors!C5</f>
        <v>2339.8990827744501</v>
      </c>
    </row>
    <row r="26" spans="1:15" ht="15.75" customHeight="1" x14ac:dyDescent="0.2">
      <c r="A26" s="1" t="s">
        <v>19</v>
      </c>
      <c r="B26" s="1">
        <f t="array" ref="B26:J26">Input_Data_Electrified!$B6:$J6*TRANSPOSE(Impact_Factors!$D$2:$D$10)</f>
        <v>1540.5</v>
      </c>
      <c r="C26" s="1">
        <v>214.89999999999998</v>
      </c>
      <c r="D26" s="1">
        <v>526.32000000000005</v>
      </c>
      <c r="E26" s="1">
        <v>295.82370000000003</v>
      </c>
      <c r="F26" s="1">
        <v>0.17519999999999999</v>
      </c>
      <c r="G26" s="1">
        <v>4780.05</v>
      </c>
      <c r="H26" s="1">
        <v>0</v>
      </c>
      <c r="I26" s="1">
        <v>0</v>
      </c>
      <c r="J26" s="1">
        <v>0</v>
      </c>
      <c r="K26" s="1">
        <f>Input_Data_Electrified!K6*State_Electricity_Factors!C6</f>
        <v>6690.4627507179712</v>
      </c>
      <c r="L26">
        <f>Input_Data_Electrified!P6*Impact_Factors!$D$11</f>
        <v>0</v>
      </c>
      <c r="M26">
        <f>Input_Data_Electrified!Q6*Impact_Factors!$D$11</f>
        <v>0</v>
      </c>
      <c r="N26">
        <f>Input_Data_Electrified!R6*State_Electricity_Factors!C6</f>
        <v>1663.332204109</v>
      </c>
      <c r="O26">
        <f>Input_Data_Electrified!S6*State_Electricity_Factors!C6</f>
        <v>3163.5002553432505</v>
      </c>
    </row>
    <row r="27" spans="1:15" ht="15.75" customHeight="1" x14ac:dyDescent="0.2">
      <c r="A27" s="1" t="s">
        <v>20</v>
      </c>
      <c r="B27" s="1">
        <f t="array" ref="B27:J27">Input_Data_Electrified!$B7:$J7*TRANSPOSE(Impact_Factors!$D$2:$D$10)</f>
        <v>1098.0999999999999</v>
      </c>
      <c r="C27" s="1">
        <v>92.1</v>
      </c>
      <c r="D27" s="1">
        <v>757.18</v>
      </c>
      <c r="E27" s="1">
        <v>557.92250000000001</v>
      </c>
      <c r="F27" s="1">
        <v>0.19320000000000001</v>
      </c>
      <c r="G27" s="1">
        <v>4816.3499999999995</v>
      </c>
      <c r="H27" s="1">
        <v>0</v>
      </c>
      <c r="I27" s="1">
        <v>0</v>
      </c>
      <c r="J27" s="1">
        <v>0</v>
      </c>
      <c r="K27" s="1">
        <f>Input_Data_Electrified!K7*State_Electricity_Factors!C7</f>
        <v>6392.4910689198332</v>
      </c>
      <c r="L27">
        <f>Input_Data_Electrified!P7*Impact_Factors!$D$11</f>
        <v>0</v>
      </c>
      <c r="M27">
        <f>Input_Data_Electrified!Q7*Impact_Factors!$D$11</f>
        <v>0</v>
      </c>
      <c r="N27">
        <f>Input_Data_Electrified!R7*State_Electricity_Factors!C7</f>
        <v>1522.7822153738</v>
      </c>
      <c r="O27">
        <f>Input_Data_Electrified!S7*State_Electricity_Factors!C7</f>
        <v>2896.1874935546502</v>
      </c>
    </row>
    <row r="28" spans="1:15" ht="15.75" customHeight="1" x14ac:dyDescent="0.2">
      <c r="A28" s="1" t="s">
        <v>21</v>
      </c>
      <c r="B28" s="1">
        <f t="array" ref="B28:J28">Input_Data_Electrified!$B8:$J8*TRANSPOSE(Impact_Factors!$D$2:$D$10)</f>
        <v>1540.5</v>
      </c>
      <c r="C28" s="1">
        <v>214.89999999999998</v>
      </c>
      <c r="D28" s="1">
        <v>526.32000000000005</v>
      </c>
      <c r="E28" s="1">
        <v>295.82370000000003</v>
      </c>
      <c r="F28" s="1">
        <v>0.17519999999999999</v>
      </c>
      <c r="G28" s="1">
        <v>4780.05</v>
      </c>
      <c r="H28" s="1">
        <v>0</v>
      </c>
      <c r="I28" s="1">
        <v>0</v>
      </c>
      <c r="J28" s="1">
        <v>0</v>
      </c>
      <c r="K28" s="1">
        <f>Input_Data_Electrified!K8*State_Electricity_Factors!C8</f>
        <v>9544.4559239222617</v>
      </c>
      <c r="L28">
        <f>Input_Data_Electrified!P8*Impact_Factors!$D$11</f>
        <v>0</v>
      </c>
      <c r="M28">
        <f>Input_Data_Electrified!Q8*Impact_Factors!$D$11</f>
        <v>0</v>
      </c>
      <c r="N28">
        <f>Input_Data_Electrified!R8*State_Electricity_Factors!C8</f>
        <v>1389.8090017826</v>
      </c>
      <c r="O28">
        <f>Input_Data_Electrified!S8*State_Electricity_Factors!C8</f>
        <v>2643.2850402080503</v>
      </c>
    </row>
    <row r="29" spans="1:15" ht="15.75" customHeight="1" x14ac:dyDescent="0.2">
      <c r="A29" s="1" t="s">
        <v>22</v>
      </c>
      <c r="B29" s="1">
        <f t="array" ref="B29:J29">Input_Data_Electrified!$B9:$J9*TRANSPOSE(Impact_Factors!$D$2:$D$10)</f>
        <v>1508.8999999999999</v>
      </c>
      <c r="C29" s="1">
        <v>448.21999999999997</v>
      </c>
      <c r="D29" s="1">
        <v>580.71999999999991</v>
      </c>
      <c r="E29" s="1">
        <v>396.85579999999999</v>
      </c>
      <c r="F29" s="1">
        <v>0.20879999999999999</v>
      </c>
      <c r="G29" s="1">
        <v>3870.8999999999996</v>
      </c>
      <c r="H29" s="1">
        <v>0</v>
      </c>
      <c r="I29" s="1">
        <v>0</v>
      </c>
      <c r="J29" s="1">
        <v>0</v>
      </c>
      <c r="K29" s="1">
        <f>Input_Data_Electrified!K9*State_Electricity_Factors!C9</f>
        <v>6723.1954648369492</v>
      </c>
      <c r="L29">
        <f>Input_Data_Electrified!P9*Impact_Factors!$D$11</f>
        <v>0</v>
      </c>
      <c r="M29">
        <f>Input_Data_Electrified!Q9*Impact_Factors!$D$11</f>
        <v>0</v>
      </c>
      <c r="N29">
        <f>Input_Data_Electrified!R9*State_Electricity_Factors!C9</f>
        <v>1788.2762975454</v>
      </c>
      <c r="O29">
        <f>Input_Data_Electrified!S9*State_Electricity_Factors!C9</f>
        <v>3401.1320828959501</v>
      </c>
    </row>
    <row r="30" spans="1:15" ht="15.75" customHeight="1" x14ac:dyDescent="0.2">
      <c r="A30" s="1" t="s">
        <v>23</v>
      </c>
      <c r="B30" s="1">
        <f t="array" ref="B30:J30">Input_Data_Electrified!$B10:$J10*TRANSPOSE(Impact_Factors!$D$2:$D$10)</f>
        <v>1299.55</v>
      </c>
      <c r="C30" s="1">
        <v>429.79999999999995</v>
      </c>
      <c r="D30" s="1">
        <v>339.66</v>
      </c>
      <c r="E30" s="1">
        <v>407.83600000000001</v>
      </c>
      <c r="F30" s="1">
        <v>0.18240000000000001</v>
      </c>
      <c r="G30" s="1">
        <v>4809.2</v>
      </c>
      <c r="H30" s="1">
        <v>0</v>
      </c>
      <c r="I30" s="1">
        <v>0</v>
      </c>
      <c r="J30" s="1">
        <v>0</v>
      </c>
      <c r="K30" s="1">
        <f>Input_Data_Electrified!K10*State_Electricity_Factors!C10</f>
        <v>5575.7772786499581</v>
      </c>
      <c r="L30">
        <f>Input_Data_Electrified!P10*Impact_Factors!$D$11</f>
        <v>0</v>
      </c>
      <c r="M30">
        <f>Input_Data_Electrified!Q10*Impact_Factors!$D$11</f>
        <v>0</v>
      </c>
      <c r="N30">
        <f>Input_Data_Electrified!R10*State_Electricity_Factors!C10</f>
        <v>1628.9785839615997</v>
      </c>
      <c r="O30">
        <f>Input_Data_Electrified!S10*State_Electricity_Factors!C10</f>
        <v>3098.1629247487999</v>
      </c>
    </row>
    <row r="31" spans="1:15" ht="15.75" customHeight="1" x14ac:dyDescent="0.2">
      <c r="A31" s="1" t="s">
        <v>24</v>
      </c>
      <c r="B31" s="1">
        <f t="array" ref="B31:J31">Input_Data_Electrified!$B11:$J11*TRANSPOSE(Impact_Factors!$D$2:$D$10)</f>
        <v>833.44999999999993</v>
      </c>
      <c r="C31" s="1">
        <v>279.37</v>
      </c>
      <c r="D31" s="1">
        <v>503.20000000000005</v>
      </c>
      <c r="E31" s="1">
        <v>348.58569999999997</v>
      </c>
      <c r="F31" s="1">
        <v>0.27119999999999994</v>
      </c>
      <c r="G31" s="1">
        <v>4285.6000000000004</v>
      </c>
      <c r="H31" s="1">
        <v>0</v>
      </c>
      <c r="I31" s="1">
        <v>0</v>
      </c>
      <c r="J31" s="1">
        <v>0</v>
      </c>
      <c r="K31" s="1">
        <f>Input_Data_Electrified!K11*State_Electricity_Factors!C11</f>
        <v>9423.2649825153185</v>
      </c>
      <c r="L31">
        <f>Input_Data_Electrified!P11*Impact_Factors!$D$11</f>
        <v>0</v>
      </c>
      <c r="M31">
        <f>Input_Data_Electrified!Q11*Impact_Factors!$D$11</f>
        <v>0</v>
      </c>
      <c r="N31">
        <f>Input_Data_Electrified!R11*State_Electricity_Factors!C11</f>
        <v>1916.3285054696</v>
      </c>
      <c r="O31">
        <f>Input_Data_Electrified!S11*State_Electricity_Factors!C11</f>
        <v>3644.6752497178004</v>
      </c>
    </row>
    <row r="32" spans="1:15" ht="15.75" customHeight="1" x14ac:dyDescent="0.2">
      <c r="A32" s="1" t="s">
        <v>25</v>
      </c>
      <c r="B32" s="1">
        <f t="array" ref="B32:J32">Input_Data_Electrified!$B12:$J12*TRANSPOSE(Impact_Factors!$D$2:$D$10)</f>
        <v>1540.5</v>
      </c>
      <c r="C32" s="1">
        <v>214.89999999999998</v>
      </c>
      <c r="D32" s="1">
        <v>526.32000000000005</v>
      </c>
      <c r="E32" s="1">
        <v>295.82370000000003</v>
      </c>
      <c r="F32" s="1">
        <v>0.17519999999999999</v>
      </c>
      <c r="G32" s="1">
        <v>4780.05</v>
      </c>
      <c r="H32" s="1">
        <v>0</v>
      </c>
      <c r="I32" s="1">
        <v>0</v>
      </c>
      <c r="J32" s="1">
        <v>0</v>
      </c>
      <c r="K32" s="1">
        <f>Input_Data_Electrified!K12*State_Electricity_Factors!C12</f>
        <v>23477.945996796421</v>
      </c>
      <c r="L32">
        <f>Input_Data_Electrified!P12*Impact_Factors!$D$11</f>
        <v>0</v>
      </c>
      <c r="M32">
        <f>Input_Data_Electrified!Q12*Impact_Factors!$D$11</f>
        <v>0</v>
      </c>
      <c r="N32">
        <f>Input_Data_Electrified!R12*State_Electricity_Factors!C12</f>
        <v>1868.3012887624</v>
      </c>
      <c r="O32">
        <f>Input_Data_Electrified!S12*State_Electricity_Factors!C12</f>
        <v>3553.3320340082005</v>
      </c>
    </row>
    <row r="33" spans="1:15" ht="15.75" customHeight="1" x14ac:dyDescent="0.2">
      <c r="A33" s="1" t="s">
        <v>26</v>
      </c>
      <c r="B33" s="1">
        <f t="array" ref="B33:J33">Input_Data_Electrified!$B13:$J13*TRANSPOSE(Impact_Factors!$D$2:$D$10)</f>
        <v>1303.5</v>
      </c>
      <c r="C33" s="1">
        <v>174.98999999999998</v>
      </c>
      <c r="D33" s="1">
        <v>372.64000000000004</v>
      </c>
      <c r="E33" s="1">
        <v>513.50259999999992</v>
      </c>
      <c r="F33" s="1">
        <v>0.17759999999999998</v>
      </c>
      <c r="G33" s="1">
        <v>4105.75</v>
      </c>
      <c r="H33" s="1">
        <v>0</v>
      </c>
      <c r="I33" s="1">
        <v>0</v>
      </c>
      <c r="J33" s="1">
        <v>0</v>
      </c>
      <c r="K33" s="1">
        <f>Input_Data_Electrified!K13*State_Electricity_Factors!C13</f>
        <v>7953.2692484016452</v>
      </c>
      <c r="L33">
        <f>Input_Data_Electrified!P13*Impact_Factors!$D$11</f>
        <v>0</v>
      </c>
      <c r="M33">
        <f>Input_Data_Electrified!Q13*Impact_Factors!$D$11</f>
        <v>0</v>
      </c>
      <c r="N33">
        <f>Input_Data_Electrified!R13*State_Electricity_Factors!C13</f>
        <v>1412.4206222703999</v>
      </c>
      <c r="O33">
        <f>Input_Data_Electrified!S13*State_Electricity_Factors!C13</f>
        <v>2686.2901999772002</v>
      </c>
    </row>
    <row r="34" spans="1:15" ht="15.75" customHeight="1" x14ac:dyDescent="0.2">
      <c r="A34" s="1" t="s">
        <v>27</v>
      </c>
      <c r="B34" s="1">
        <f t="array" ref="B34:J34">Input_Data_Electrified!$B14:$J14*TRANSPOSE(Impact_Factors!$D$2:$D$10)</f>
        <v>2567.5</v>
      </c>
      <c r="C34" s="1">
        <v>196.48000000000002</v>
      </c>
      <c r="D34" s="1">
        <v>654.33000000000004</v>
      </c>
      <c r="E34" s="1">
        <v>66.736799999999988</v>
      </c>
      <c r="F34" s="1">
        <v>0.23879999999999998</v>
      </c>
      <c r="G34" s="1">
        <v>6794.7000000000007</v>
      </c>
      <c r="H34" s="1">
        <v>0</v>
      </c>
      <c r="I34" s="1">
        <v>0</v>
      </c>
      <c r="J34" s="1">
        <v>0</v>
      </c>
      <c r="K34" s="1">
        <f>Input_Data_Electrified!K14*State_Electricity_Factors!C14</f>
        <v>10896.175746080315</v>
      </c>
      <c r="L34">
        <f>Input_Data_Electrified!P14*Impact_Factors!$D$11</f>
        <v>0</v>
      </c>
      <c r="M34">
        <f>Input_Data_Electrified!Q14*Impact_Factors!$D$11</f>
        <v>0</v>
      </c>
      <c r="N34">
        <f>Input_Data_Electrified!R14*State_Electricity_Factors!C14</f>
        <v>1495.1828615164</v>
      </c>
      <c r="O34">
        <f>Input_Data_Electrified!S14*State_Electricity_Factors!C14</f>
        <v>2843.6961374927</v>
      </c>
    </row>
    <row r="35" spans="1:15" ht="15.75" customHeight="1" x14ac:dyDescent="0.2">
      <c r="A35" s="1" t="s">
        <v>28</v>
      </c>
      <c r="B35" s="1">
        <f t="array" ref="B35:J35">Input_Data_Electrified!$B15:$J15*TRANSPOSE(Impact_Factors!$D$2:$D$10)</f>
        <v>1572.1</v>
      </c>
      <c r="C35" s="1">
        <v>92.1</v>
      </c>
      <c r="D35" s="1">
        <v>498.27</v>
      </c>
      <c r="E35" s="1">
        <v>759.77279999999996</v>
      </c>
      <c r="F35" s="1">
        <v>0.2964</v>
      </c>
      <c r="G35" s="1">
        <v>5367.45</v>
      </c>
      <c r="H35" s="1">
        <v>0</v>
      </c>
      <c r="I35" s="1">
        <v>0</v>
      </c>
      <c r="J35" s="1">
        <v>0</v>
      </c>
      <c r="K35" s="1">
        <f>Input_Data_Electrified!K15*State_Electricity_Factors!C15</f>
        <v>5462.111204093846</v>
      </c>
      <c r="L35">
        <f>Input_Data_Electrified!P15*Impact_Factors!$D$11</f>
        <v>0</v>
      </c>
      <c r="M35">
        <f>Input_Data_Electrified!Q15*Impact_Factors!$D$11</f>
        <v>0</v>
      </c>
      <c r="N35">
        <f>Input_Data_Electrified!R15*State_Electricity_Factors!C15</f>
        <v>1266.1882277339998</v>
      </c>
      <c r="O35">
        <f>Input_Data_Electrified!S15*State_Electricity_Factors!C15</f>
        <v>2408.1700407495</v>
      </c>
    </row>
    <row r="36" spans="1:15" ht="15.75" customHeight="1" x14ac:dyDescent="0.2">
      <c r="A36" s="1" t="s">
        <v>29</v>
      </c>
      <c r="B36" s="1">
        <f t="array" ref="B36:J36">Input_Data_Electrified!$B16:$J16*TRANSPOSE(Impact_Factors!$D$2:$D$10)</f>
        <v>1204.75</v>
      </c>
      <c r="C36" s="1">
        <v>211.82999999999998</v>
      </c>
      <c r="D36" s="1">
        <v>643.45000000000005</v>
      </c>
      <c r="E36" s="1">
        <v>488.83280000000002</v>
      </c>
      <c r="F36" s="1">
        <v>0.16799999999999998</v>
      </c>
      <c r="G36" s="1">
        <v>3996.2999999999997</v>
      </c>
      <c r="H36" s="1">
        <v>0</v>
      </c>
      <c r="I36" s="1">
        <v>0</v>
      </c>
      <c r="J36" s="1">
        <v>0</v>
      </c>
      <c r="K36" s="1">
        <f>Input_Data_Electrified!K16*State_Electricity_Factors!C16</f>
        <v>3212.1031772147257</v>
      </c>
      <c r="L36">
        <f>Input_Data_Electrified!P16*Impact_Factors!$D$11</f>
        <v>0</v>
      </c>
      <c r="M36">
        <f>Input_Data_Electrified!Q16*Impact_Factors!$D$11</f>
        <v>0</v>
      </c>
      <c r="N36">
        <f>Input_Data_Electrified!R16*State_Electricity_Factors!C16</f>
        <v>1405.7028807279999</v>
      </c>
      <c r="O36">
        <f>Input_Data_Electrified!S16*State_Electricity_Factors!C16</f>
        <v>2673.5136920540003</v>
      </c>
    </row>
    <row r="37" spans="1:15" ht="15.75" customHeight="1" x14ac:dyDescent="0.2">
      <c r="A37" s="1" t="s">
        <v>30</v>
      </c>
      <c r="B37" s="1">
        <f t="array" ref="B37:J37">Input_Data_Electrified!$B17:$J17*TRANSPOSE(Impact_Factors!$D$2:$D$10)</f>
        <v>2251.5</v>
      </c>
      <c r="C37" s="1">
        <v>199.55</v>
      </c>
      <c r="D37" s="1">
        <v>521.39</v>
      </c>
      <c r="E37" s="1">
        <v>34.152700000000003</v>
      </c>
      <c r="F37" s="1">
        <v>0.1212</v>
      </c>
      <c r="G37" s="1">
        <v>4712.4000000000005</v>
      </c>
      <c r="H37" s="1">
        <v>0</v>
      </c>
      <c r="I37" s="1">
        <v>0</v>
      </c>
      <c r="J37" s="1">
        <v>0</v>
      </c>
      <c r="K37" s="1">
        <f>Input_Data_Electrified!K17*State_Electricity_Factors!C17</f>
        <v>14169.594927429722</v>
      </c>
      <c r="L37">
        <f>Input_Data_Electrified!P17*Impact_Factors!$D$11</f>
        <v>0</v>
      </c>
      <c r="M37">
        <f>Input_Data_Electrified!Q17*Impact_Factors!$D$11</f>
        <v>0</v>
      </c>
      <c r="N37">
        <f>Input_Data_Electrified!R17*State_Electricity_Factors!C17</f>
        <v>1649.7962778711999</v>
      </c>
      <c r="O37">
        <f>Input_Data_Electrified!S17*State_Electricity_Factors!C17</f>
        <v>3137.7562061366002</v>
      </c>
    </row>
    <row r="38" spans="1:15" ht="15.75" customHeight="1" x14ac:dyDescent="0.2">
      <c r="A38" s="1" t="s">
        <v>31</v>
      </c>
      <c r="B38" s="1">
        <f t="array" ref="B38:J38">Input_Data_Electrified!$B18:$J18*TRANSPOSE(Impact_Factors!$D$2:$D$10)</f>
        <v>1540.5</v>
      </c>
      <c r="C38" s="1">
        <v>214.89999999999998</v>
      </c>
      <c r="D38" s="1">
        <v>526.32000000000005</v>
      </c>
      <c r="E38" s="1">
        <v>295.82370000000003</v>
      </c>
      <c r="F38" s="1">
        <v>0.17519999999999999</v>
      </c>
      <c r="G38" s="1">
        <v>4780.05</v>
      </c>
      <c r="H38" s="1">
        <v>0</v>
      </c>
      <c r="I38" s="1">
        <v>0</v>
      </c>
      <c r="J38" s="1">
        <v>0</v>
      </c>
      <c r="K38" s="1">
        <f>Input_Data_Electrified!K18*State_Electricity_Factors!C18</f>
        <v>5452.2993015632164</v>
      </c>
      <c r="L38">
        <f>Input_Data_Electrified!P18*Impact_Factors!$D$11</f>
        <v>0</v>
      </c>
      <c r="M38">
        <f>Input_Data_Electrified!Q18*Impact_Factors!$D$11</f>
        <v>0</v>
      </c>
      <c r="N38">
        <f>Input_Data_Electrified!R18*State_Electricity_Factors!C18</f>
        <v>1440.2875899421999</v>
      </c>
      <c r="O38">
        <f>Input_Data_Electrified!S18*State_Electricity_Factors!C18</f>
        <v>2739.2905321583503</v>
      </c>
    </row>
    <row r="39" spans="1:15" ht="15.75" customHeight="1" x14ac:dyDescent="0.2"/>
    <row r="40" spans="1:15" ht="15.75" customHeight="1" x14ac:dyDescent="0.2"/>
    <row r="41" spans="1:15" ht="15.75" customHeight="1" x14ac:dyDescent="0.2"/>
    <row r="42" spans="1:15" ht="15.75" customHeight="1" x14ac:dyDescent="0.2"/>
    <row r="43" spans="1:15" ht="15.75" customHeight="1" x14ac:dyDescent="0.2"/>
    <row r="44" spans="1:15" ht="15.75" customHeight="1" x14ac:dyDescent="0.2"/>
    <row r="45" spans="1:15" ht="15.75" customHeight="1" x14ac:dyDescent="0.2"/>
    <row r="46" spans="1:15" ht="15.75" customHeight="1" x14ac:dyDescent="0.2"/>
    <row r="47" spans="1:15" ht="15.75" customHeight="1" x14ac:dyDescent="0.2"/>
    <row r="48" spans="1:1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00"/>
  <sheetViews>
    <sheetView workbookViewId="0">
      <selection activeCell="I18" sqref="I18"/>
    </sheetView>
  </sheetViews>
  <sheetFormatPr baseColWidth="10" defaultColWidth="11.1640625" defaultRowHeight="15" customHeight="1" x14ac:dyDescent="0.2"/>
  <cols>
    <col min="1" max="1" width="10.5" customWidth="1"/>
    <col min="2" max="2" width="19.83203125" customWidth="1"/>
    <col min="3" max="26" width="10.5" customWidth="1"/>
  </cols>
  <sheetData>
    <row r="1" spans="1:15" ht="15.75" customHeight="1" x14ac:dyDescent="0.2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6" t="s">
        <v>117</v>
      </c>
      <c r="M1" s="6" t="s">
        <v>118</v>
      </c>
      <c r="N1" s="6" t="s">
        <v>119</v>
      </c>
      <c r="O1" s="6" t="s">
        <v>120</v>
      </c>
    </row>
    <row r="2" spans="1:15" ht="15.75" customHeight="1" x14ac:dyDescent="0.2">
      <c r="A2" s="1" t="s">
        <v>15</v>
      </c>
      <c r="B2" s="1">
        <f t="array" ref="B2:J2">Input_Data!$B2:$J2*TRANSPOSE(Impact_Factors!$E$2:$E$10)</f>
        <v>214.73579999999998</v>
      </c>
      <c r="C2" s="1">
        <v>10.8948</v>
      </c>
      <c r="D2" s="1">
        <v>1466.5104000000001</v>
      </c>
      <c r="E2" s="1">
        <v>761.82670000000007</v>
      </c>
      <c r="F2" s="1">
        <v>0.1749</v>
      </c>
      <c r="G2" s="1">
        <v>1458.7104999999999</v>
      </c>
      <c r="H2" s="1">
        <v>83.306400000000011</v>
      </c>
      <c r="I2" s="1">
        <v>0</v>
      </c>
      <c r="J2" s="1">
        <v>111785.90699999999</v>
      </c>
      <c r="K2" s="1">
        <f>Input_Data!K2*State_Electricity_Factors!D2</f>
        <v>834.40368933524553</v>
      </c>
      <c r="L2">
        <f>Input_Data!P2*Impact_Factors!$E$11</f>
        <v>1.41032</v>
      </c>
      <c r="M2">
        <f>Input_Data!Q2*Impact_Factors!$E$11</f>
        <v>7.4249199999999993</v>
      </c>
      <c r="N2">
        <f>Input_Data!R2*State_Electricity_Factors!D2</f>
        <v>387.59042525149999</v>
      </c>
      <c r="O2">
        <f>Input_Data!S2*State_Electricity_Factors!D2</f>
        <v>443.58929426259999</v>
      </c>
    </row>
    <row r="3" spans="1:15" ht="15.75" customHeight="1" x14ac:dyDescent="0.2">
      <c r="A3" s="1" t="s">
        <v>16</v>
      </c>
      <c r="B3" s="1">
        <f t="array" ref="B3:J3">Input_Data!$B3:$J3*TRANSPOSE(Impact_Factors!$E$2:$E$10)</f>
        <v>97.545599999999993</v>
      </c>
      <c r="C3" s="1">
        <v>7.0037999999999991</v>
      </c>
      <c r="D3" s="1">
        <v>369.57240000000002</v>
      </c>
      <c r="E3" s="1">
        <v>10.977900000000002</v>
      </c>
      <c r="F3" s="1">
        <v>3.9599999999999996E-2</v>
      </c>
      <c r="G3" s="1">
        <v>1561.7089999999998</v>
      </c>
      <c r="H3" s="1">
        <v>236.32319999999996</v>
      </c>
      <c r="I3" s="1">
        <v>0</v>
      </c>
      <c r="J3" s="1">
        <v>7132124.3940000003</v>
      </c>
      <c r="K3" s="1">
        <f>Input_Data!K3*State_Electricity_Factors!D3</f>
        <v>2223.2422627134715</v>
      </c>
      <c r="L3">
        <f>Input_Data!P3*Impact_Factors!$E$11</f>
        <v>1.41032</v>
      </c>
      <c r="M3">
        <f>Input_Data!Q3*Impact_Factors!$E$11</f>
        <v>7.4249199999999993</v>
      </c>
      <c r="N3">
        <f>Input_Data!R3*State_Electricity_Factors!D3</f>
        <v>388.38467208000003</v>
      </c>
      <c r="O3">
        <f>Input_Data!S3*State_Electricity_Factors!D3</f>
        <v>444.498293472</v>
      </c>
    </row>
    <row r="4" spans="1:15" ht="15.75" customHeight="1" x14ac:dyDescent="0.2">
      <c r="A4" s="1" t="s">
        <v>17</v>
      </c>
      <c r="B4" s="1">
        <f t="array" ref="B4:J4">Input_Data!$B4:$J4*TRANSPOSE(Impact_Factors!$E$2:$E$10)</f>
        <v>170.70479999999998</v>
      </c>
      <c r="C4" s="1">
        <v>46.691999999999993</v>
      </c>
      <c r="D4" s="1">
        <v>1177.1838</v>
      </c>
      <c r="E4" s="1">
        <v>599.92740000000003</v>
      </c>
      <c r="F4" s="1">
        <v>0.23760000000000001</v>
      </c>
      <c r="G4" s="1">
        <v>1570.4585</v>
      </c>
      <c r="H4" s="1">
        <v>175.512</v>
      </c>
      <c r="I4" s="1">
        <v>0</v>
      </c>
      <c r="J4" s="1">
        <v>1435741.7220000001</v>
      </c>
      <c r="K4" s="1">
        <f>Input_Data!K4*State_Electricity_Factors!D4</f>
        <v>906.35742666490864</v>
      </c>
      <c r="L4">
        <f>Input_Data!P4*Impact_Factors!$E$11</f>
        <v>1.41032</v>
      </c>
      <c r="M4">
        <f>Input_Data!Q4*Impact_Factors!$E$11</f>
        <v>7.4249199999999993</v>
      </c>
      <c r="N4">
        <f>Input_Data!R4*State_Electricity_Factors!D4</f>
        <v>355.50940218799997</v>
      </c>
      <c r="O4">
        <f>Input_Data!S4*State_Electricity_Factors!D4</f>
        <v>406.87322117920002</v>
      </c>
    </row>
    <row r="5" spans="1:15" ht="15.75" customHeight="1" x14ac:dyDescent="0.2">
      <c r="A5" s="1" t="s">
        <v>18</v>
      </c>
      <c r="B5" s="1">
        <f t="array" ref="B5:J5">Input_Data!$B5:$J5*TRANSPOSE(Impact_Factors!$E$2:$E$10)</f>
        <v>86.029799999999994</v>
      </c>
      <c r="C5" s="1">
        <v>18.287699999999997</v>
      </c>
      <c r="D5" s="1">
        <v>153.86580000000001</v>
      </c>
      <c r="E5" s="1">
        <v>83.768300000000011</v>
      </c>
      <c r="F5" s="1">
        <v>0.1419</v>
      </c>
      <c r="G5" s="1">
        <v>1009.4160000000001</v>
      </c>
      <c r="H5" s="1">
        <v>234.59279999999998</v>
      </c>
      <c r="I5" s="1">
        <v>0</v>
      </c>
      <c r="J5" s="1">
        <v>5342918.0189999994</v>
      </c>
      <c r="K5" s="1">
        <f>Input_Data!K5*State_Electricity_Factors!D5</f>
        <v>2120.0192675035164</v>
      </c>
      <c r="L5">
        <f>Input_Data!P5*Impact_Factors!$E$11</f>
        <v>1.41032</v>
      </c>
      <c r="M5">
        <f>Input_Data!Q5*Impact_Factors!$E$11</f>
        <v>7.4249199999999993</v>
      </c>
      <c r="N5">
        <f>Input_Data!R5*State_Electricity_Factors!D5</f>
        <v>710.07307735399991</v>
      </c>
      <c r="O5">
        <f>Input_Data!S5*State_Electricity_Factors!D5</f>
        <v>812.66407717359994</v>
      </c>
    </row>
    <row r="6" spans="1:15" ht="15.75" customHeight="1" x14ac:dyDescent="0.2">
      <c r="A6" s="1" t="s">
        <v>19</v>
      </c>
      <c r="B6" s="1">
        <f t="array" ref="B6:J6">Input_Data!$B6:$J6*TRANSPOSE(Impact_Factors!$E$2:$E$10)</f>
        <v>264.18599999999998</v>
      </c>
      <c r="C6" s="1">
        <v>27.236999999999995</v>
      </c>
      <c r="D6" s="1">
        <v>1139.6376</v>
      </c>
      <c r="E6" s="1">
        <v>410.33610000000004</v>
      </c>
      <c r="F6" s="1">
        <v>0.16059999999999999</v>
      </c>
      <c r="G6" s="1">
        <v>1334.0684999999999</v>
      </c>
      <c r="H6" s="1">
        <v>272.4144</v>
      </c>
      <c r="I6" s="1">
        <v>0</v>
      </c>
      <c r="J6" s="1">
        <v>344354.88010000001</v>
      </c>
      <c r="K6" s="1">
        <f>Input_Data!K6*State_Electricity_Factors!D6</f>
        <v>410.176890932292</v>
      </c>
      <c r="L6">
        <f>Input_Data!P6*Impact_Factors!$E$11</f>
        <v>1.41032</v>
      </c>
      <c r="M6">
        <f>Input_Data!Q6*Impact_Factors!$E$11</f>
        <v>7.4249199999999993</v>
      </c>
      <c r="N6">
        <f>Input_Data!R6*State_Electricity_Factors!D6</f>
        <v>170.37209459249999</v>
      </c>
      <c r="O6">
        <f>Input_Data!S6*State_Electricity_Factors!D6</f>
        <v>194.98736882700001</v>
      </c>
    </row>
    <row r="7" spans="1:15" ht="15.75" customHeight="1" x14ac:dyDescent="0.2">
      <c r="A7" s="1" t="s">
        <v>20</v>
      </c>
      <c r="B7" s="1">
        <f t="array" ref="B7:J7">Input_Data!$B7:$J7*TRANSPOSE(Impact_Factors!$E$2:$E$10)</f>
        <v>188.31719999999999</v>
      </c>
      <c r="C7" s="1">
        <v>11.672999999999998</v>
      </c>
      <c r="D7" s="1">
        <v>1639.5174000000002</v>
      </c>
      <c r="E7" s="1">
        <v>773.89250000000004</v>
      </c>
      <c r="F7" s="1">
        <v>0.17710000000000001</v>
      </c>
      <c r="G7" s="1">
        <v>1344.1994999999999</v>
      </c>
      <c r="H7" s="1">
        <v>139.42079999999999</v>
      </c>
      <c r="I7" s="1">
        <v>0</v>
      </c>
      <c r="J7" s="1">
        <v>446116.13549999997</v>
      </c>
      <c r="K7" s="1">
        <f>Input_Data!K7*State_Electricity_Factors!D7</f>
        <v>982.62551692291515</v>
      </c>
      <c r="L7">
        <f>Input_Data!P7*Impact_Factors!$E$11</f>
        <v>1.41032</v>
      </c>
      <c r="M7">
        <f>Input_Data!Q7*Impact_Factors!$E$11</f>
        <v>7.4249199999999993</v>
      </c>
      <c r="N7">
        <f>Input_Data!R7*State_Electricity_Factors!D7</f>
        <v>255.00851484650002</v>
      </c>
      <c r="O7">
        <f>Input_Data!S7*State_Electricity_Factors!D7</f>
        <v>291.85201636060003</v>
      </c>
    </row>
    <row r="8" spans="1:15" ht="15.75" customHeight="1" x14ac:dyDescent="0.2">
      <c r="A8" s="1" t="s">
        <v>21</v>
      </c>
      <c r="B8" s="1">
        <f t="array" ref="B8:J8">Input_Data!$B8:$J8*TRANSPOSE(Impact_Factors!$E$2:$E$10)</f>
        <v>264.18599999999998</v>
      </c>
      <c r="C8" s="1">
        <v>27.236999999999995</v>
      </c>
      <c r="D8" s="1">
        <v>1139.6376</v>
      </c>
      <c r="E8" s="1">
        <v>410.33610000000004</v>
      </c>
      <c r="F8" s="1">
        <v>0.16059999999999999</v>
      </c>
      <c r="G8" s="1">
        <v>1334.0684999999999</v>
      </c>
      <c r="H8" s="1">
        <v>250.41359999999997</v>
      </c>
      <c r="I8" s="1">
        <v>0</v>
      </c>
      <c r="J8" s="1">
        <v>480094.56329999998</v>
      </c>
      <c r="K8" s="1">
        <f>Input_Data!K8*State_Electricity_Factors!D8</f>
        <v>1056.1956392620925</v>
      </c>
      <c r="L8">
        <f>Input_Data!P8*Impact_Factors!$E$11</f>
        <v>1.41032</v>
      </c>
      <c r="M8">
        <f>Input_Data!Q8*Impact_Factors!$E$11</f>
        <v>7.4249199999999993</v>
      </c>
      <c r="N8">
        <f>Input_Data!R8*State_Electricity_Factors!D8</f>
        <v>173.2297456165</v>
      </c>
      <c r="O8">
        <f>Input_Data!S8*State_Electricity_Factors!D8</f>
        <v>198.25789182859998</v>
      </c>
    </row>
    <row r="9" spans="1:15" ht="15.75" customHeight="1" x14ac:dyDescent="0.2">
      <c r="A9" s="1" t="s">
        <v>22</v>
      </c>
      <c r="B9" s="1">
        <f t="array" ref="B9:J9">Input_Data!$B9:$J9*TRANSPOSE(Impact_Factors!$E$2:$E$10)</f>
        <v>258.76679999999999</v>
      </c>
      <c r="C9" s="1">
        <v>56.808599999999991</v>
      </c>
      <c r="D9" s="1">
        <v>1257.4295999999999</v>
      </c>
      <c r="E9" s="1">
        <v>550.47739999999999</v>
      </c>
      <c r="F9" s="1">
        <v>0.19139999999999999</v>
      </c>
      <c r="G9" s="1">
        <v>1080.3329999999999</v>
      </c>
      <c r="H9" s="1">
        <v>203.69279999999998</v>
      </c>
      <c r="I9" s="1">
        <v>0</v>
      </c>
      <c r="J9" s="1">
        <v>444194.65889999998</v>
      </c>
      <c r="K9" s="1">
        <f>Input_Data!K9*State_Electricity_Factors!D9</f>
        <v>567.35750990051997</v>
      </c>
      <c r="L9">
        <f>Input_Data!P9*Impact_Factors!$E$11</f>
        <v>1.41032</v>
      </c>
      <c r="M9">
        <f>Input_Data!Q9*Impact_Factors!$E$11</f>
        <v>7.4249199999999993</v>
      </c>
      <c r="N9">
        <f>Input_Data!R9*State_Electricity_Factors!D9</f>
        <v>208.46933290499999</v>
      </c>
      <c r="O9">
        <f>Input_Data!S9*State_Electricity_Factors!D9</f>
        <v>238.58887690200001</v>
      </c>
    </row>
    <row r="10" spans="1:15" ht="15.75" customHeight="1" x14ac:dyDescent="0.2">
      <c r="A10" s="1" t="s">
        <v>23</v>
      </c>
      <c r="B10" s="1">
        <f t="array" ref="B10:J10">Input_Data!$B10:$J10*TRANSPOSE(Impact_Factors!$E$2:$E$10)</f>
        <v>222.8646</v>
      </c>
      <c r="C10" s="1">
        <v>54.47399999999999</v>
      </c>
      <c r="D10" s="1">
        <v>735.46380000000011</v>
      </c>
      <c r="E10" s="1">
        <v>565.70800000000008</v>
      </c>
      <c r="F10" s="1">
        <v>0.16720000000000002</v>
      </c>
      <c r="G10" s="1">
        <v>1342.204</v>
      </c>
      <c r="H10" s="1">
        <v>191.57999999999998</v>
      </c>
      <c r="I10" s="1">
        <v>0</v>
      </c>
      <c r="J10" s="1">
        <v>463419.45539999998</v>
      </c>
      <c r="K10" s="1">
        <f>Input_Data!K10*State_Electricity_Factors!D10</f>
        <v>377.16853326015649</v>
      </c>
      <c r="L10">
        <f>Input_Data!P10*Impact_Factors!$E$11</f>
        <v>1.41032</v>
      </c>
      <c r="M10">
        <f>Input_Data!Q10*Impact_Factors!$E$11</f>
        <v>7.4249199999999993</v>
      </c>
      <c r="N10">
        <f>Input_Data!R10*State_Electricity_Factors!D10</f>
        <v>155.78701996194999</v>
      </c>
      <c r="O10">
        <f>Input_Data!S10*State_Electricity_Factors!D10</f>
        <v>178.29504997538001</v>
      </c>
    </row>
    <row r="11" spans="1:15" ht="15.75" customHeight="1" x14ac:dyDescent="0.2">
      <c r="A11" s="1" t="s">
        <v>24</v>
      </c>
      <c r="B11" s="1">
        <f t="array" ref="B11:J11">Input_Data!$B11:$J11*TRANSPOSE(Impact_Factors!$E$2:$E$10)</f>
        <v>142.93139999999997</v>
      </c>
      <c r="C11" s="1">
        <v>35.408099999999997</v>
      </c>
      <c r="D11" s="1">
        <v>1089.576</v>
      </c>
      <c r="E11" s="1">
        <v>483.52210000000002</v>
      </c>
      <c r="F11" s="1">
        <v>0.24859999999999999</v>
      </c>
      <c r="G11" s="1">
        <v>1196.0719999999999</v>
      </c>
      <c r="H11" s="1">
        <v>231.87359999999995</v>
      </c>
      <c r="I11" s="1">
        <v>0</v>
      </c>
      <c r="J11" s="1">
        <v>651568.59310000006</v>
      </c>
      <c r="K11" s="1">
        <f>Input_Data!K11*State_Electricity_Factors!D11</f>
        <v>1174.7328267554878</v>
      </c>
      <c r="L11">
        <f>Input_Data!P11*Impact_Factors!$E$11</f>
        <v>1.41032</v>
      </c>
      <c r="M11">
        <f>Input_Data!Q11*Impact_Factors!$E$11</f>
        <v>7.4249199999999993</v>
      </c>
      <c r="N11">
        <f>Input_Data!R11*State_Electricity_Factors!D11</f>
        <v>302.82094820999998</v>
      </c>
      <c r="O11">
        <f>Input_Data!S11*State_Electricity_Factors!D11</f>
        <v>346.57236596399997</v>
      </c>
    </row>
    <row r="12" spans="1:15" ht="15.75" customHeight="1" x14ac:dyDescent="0.2">
      <c r="A12" s="1" t="s">
        <v>25</v>
      </c>
      <c r="B12" s="1">
        <f t="array" ref="B12:J12">Input_Data!$B12:$J12*TRANSPOSE(Impact_Factors!$E$2:$E$10)</f>
        <v>264.18599999999998</v>
      </c>
      <c r="C12" s="1">
        <v>27.236999999999995</v>
      </c>
      <c r="D12" s="1">
        <v>1139.6376</v>
      </c>
      <c r="E12" s="1">
        <v>410.33610000000004</v>
      </c>
      <c r="F12" s="1">
        <v>0.16059999999999999</v>
      </c>
      <c r="G12" s="1">
        <v>1334.0684999999999</v>
      </c>
      <c r="H12" s="1">
        <v>494.15280000000001</v>
      </c>
      <c r="I12" s="1">
        <v>0</v>
      </c>
      <c r="J12" s="1">
        <v>3962167.2739999997</v>
      </c>
      <c r="K12" s="1">
        <f>Input_Data!K12*State_Electricity_Factors!D12</f>
        <v>2261.03108718367</v>
      </c>
      <c r="L12">
        <f>Input_Data!P12*Impact_Factors!$E$11</f>
        <v>1.41032</v>
      </c>
      <c r="M12">
        <f>Input_Data!Q12*Impact_Factors!$E$11</f>
        <v>7.4249199999999993</v>
      </c>
      <c r="N12">
        <f>Input_Data!R12*State_Electricity_Factors!D12</f>
        <v>208.884879646</v>
      </c>
      <c r="O12">
        <f>Input_Data!S12*State_Electricity_Factors!D12</f>
        <v>239.0644616264</v>
      </c>
    </row>
    <row r="13" spans="1:15" ht="15.75" customHeight="1" x14ac:dyDescent="0.2">
      <c r="A13" s="1" t="s">
        <v>26</v>
      </c>
      <c r="B13" s="1">
        <f t="array" ref="B13:J13">Input_Data!$B13:$J13*TRANSPOSE(Impact_Factors!$E$2:$E$10)</f>
        <v>223.54199999999997</v>
      </c>
      <c r="C13" s="1">
        <v>22.178699999999996</v>
      </c>
      <c r="D13" s="1">
        <v>806.87520000000006</v>
      </c>
      <c r="E13" s="1">
        <v>712.27779999999996</v>
      </c>
      <c r="F13" s="1">
        <v>0.1628</v>
      </c>
      <c r="G13" s="1">
        <v>1145.8775000000001</v>
      </c>
      <c r="H13" s="1">
        <v>186.636</v>
      </c>
      <c r="I13" s="1">
        <v>0</v>
      </c>
      <c r="J13" s="1">
        <v>28744.973170000001</v>
      </c>
      <c r="K13" s="1">
        <f>Input_Data!K13*State_Electricity_Factors!D13</f>
        <v>1513.5418568961009</v>
      </c>
      <c r="L13">
        <f>Input_Data!P13*Impact_Factors!$E$11</f>
        <v>1.41032</v>
      </c>
      <c r="M13">
        <f>Input_Data!Q13*Impact_Factors!$E$11</f>
        <v>7.4249199999999993</v>
      </c>
      <c r="N13">
        <f>Input_Data!R13*State_Electricity_Factors!D13</f>
        <v>292.62879559300001</v>
      </c>
      <c r="O13">
        <f>Input_Data!S13*State_Electricity_Factors!D13</f>
        <v>334.90765628119999</v>
      </c>
    </row>
    <row r="14" spans="1:15" ht="15.75" customHeight="1" x14ac:dyDescent="0.2">
      <c r="A14" s="1" t="s">
        <v>27</v>
      </c>
      <c r="B14" s="1">
        <f t="array" ref="B14:J14">Input_Data!$B14:$J14*TRANSPOSE(Impact_Factors!$E$2:$E$10)</f>
        <v>440.30999999999995</v>
      </c>
      <c r="C14" s="1">
        <v>24.9024</v>
      </c>
      <c r="D14" s="1">
        <v>1416.8169000000003</v>
      </c>
      <c r="E14" s="1">
        <v>92.570400000000006</v>
      </c>
      <c r="F14" s="1">
        <v>0.21890000000000001</v>
      </c>
      <c r="G14" s="1">
        <v>1896.3389999999999</v>
      </c>
      <c r="H14" s="1">
        <v>282.5496</v>
      </c>
      <c r="I14" s="1">
        <v>0</v>
      </c>
      <c r="J14" s="1">
        <v>1351246.3729999999</v>
      </c>
      <c r="K14" s="1">
        <f>Input_Data!K14*State_Electricity_Factors!D14</f>
        <v>1238.245952297206</v>
      </c>
      <c r="L14">
        <f>Input_Data!P14*Impact_Factors!$E$11</f>
        <v>1.41032</v>
      </c>
      <c r="M14">
        <f>Input_Data!Q14*Impact_Factors!$E$11</f>
        <v>7.4249199999999993</v>
      </c>
      <c r="N14">
        <f>Input_Data!R14*State_Electricity_Factors!D14</f>
        <v>196.09914271099998</v>
      </c>
      <c r="O14">
        <f>Input_Data!S14*State_Electricity_Factors!D14</f>
        <v>224.43144787239999</v>
      </c>
    </row>
    <row r="15" spans="1:15" ht="15.75" customHeight="1" x14ac:dyDescent="0.2">
      <c r="A15" s="1" t="s">
        <v>28</v>
      </c>
      <c r="B15" s="1">
        <f t="array" ref="B15:J15">Input_Data!$B15:$J15*TRANSPOSE(Impact_Factors!$E$2:$E$10)</f>
        <v>269.60519999999997</v>
      </c>
      <c r="C15" s="1">
        <v>11.672999999999998</v>
      </c>
      <c r="D15" s="1">
        <v>1078.9011</v>
      </c>
      <c r="E15" s="1">
        <v>1053.8784000000001</v>
      </c>
      <c r="F15" s="1">
        <v>0.2717</v>
      </c>
      <c r="G15" s="1">
        <v>1498.0065</v>
      </c>
      <c r="H15" s="1">
        <v>161.17439999999999</v>
      </c>
      <c r="I15" s="1">
        <v>0</v>
      </c>
      <c r="J15" s="1">
        <v>194267.95910000001</v>
      </c>
      <c r="K15" s="1">
        <f>Input_Data!K15*State_Electricity_Factors!D15</f>
        <v>1144.7749758845775</v>
      </c>
      <c r="L15">
        <f>Input_Data!P15*Impact_Factors!$E$11</f>
        <v>1.41032</v>
      </c>
      <c r="M15">
        <f>Input_Data!Q15*Impact_Factors!$E$11</f>
        <v>7.4249199999999993</v>
      </c>
      <c r="N15">
        <f>Input_Data!R15*State_Electricity_Factors!D15</f>
        <v>301.72988223549999</v>
      </c>
      <c r="O15">
        <f>Input_Data!S15*State_Electricity_Factors!D15</f>
        <v>345.32366332820004</v>
      </c>
    </row>
    <row r="16" spans="1:15" ht="15.75" customHeight="1" x14ac:dyDescent="0.2">
      <c r="A16" s="1" t="s">
        <v>29</v>
      </c>
      <c r="B16" s="1">
        <f t="array" ref="B16:J16">Input_Data!$B16:$J16*TRANSPOSE(Impact_Factors!$E$2:$E$10)</f>
        <v>206.60699999999997</v>
      </c>
      <c r="C16" s="1">
        <v>26.847899999999996</v>
      </c>
      <c r="D16" s="1">
        <v>1393.2585000000001</v>
      </c>
      <c r="E16" s="1">
        <v>678.05840000000001</v>
      </c>
      <c r="F16" s="1">
        <v>0.154</v>
      </c>
      <c r="G16" s="1">
        <v>1115.3309999999999</v>
      </c>
      <c r="H16" s="1">
        <v>64.519199999999998</v>
      </c>
      <c r="I16" s="1">
        <v>0</v>
      </c>
      <c r="J16" s="1">
        <v>101943.90180000001</v>
      </c>
      <c r="K16" s="1">
        <f>Input_Data!K16*State_Electricity_Factors!D16</f>
        <v>1186.3899345032983</v>
      </c>
      <c r="L16">
        <f>Input_Data!P16*Impact_Factors!$E$11</f>
        <v>1.41032</v>
      </c>
      <c r="M16">
        <f>Input_Data!Q16*Impact_Factors!$E$11</f>
        <v>7.4249199999999993</v>
      </c>
      <c r="N16">
        <f>Input_Data!R16*State_Electricity_Factors!D16</f>
        <v>538.60582289050001</v>
      </c>
      <c r="O16">
        <f>Input_Data!S16*State_Electricity_Factors!D16</f>
        <v>616.4233203302</v>
      </c>
    </row>
    <row r="17" spans="1:15" ht="15.75" customHeight="1" x14ac:dyDescent="0.2">
      <c r="A17" s="1" t="s">
        <v>30</v>
      </c>
      <c r="B17" s="1">
        <f t="array" ref="B17:J17">Input_Data!$B17:$J17*TRANSPOSE(Impact_Factors!$E$2:$E$10)</f>
        <v>386.11799999999999</v>
      </c>
      <c r="C17" s="1">
        <v>25.291499999999999</v>
      </c>
      <c r="D17" s="1">
        <v>1128.9627</v>
      </c>
      <c r="E17" s="1">
        <v>47.373100000000001</v>
      </c>
      <c r="F17" s="1">
        <v>0.1111</v>
      </c>
      <c r="G17" s="1">
        <v>1315.1880000000001</v>
      </c>
      <c r="H17" s="1">
        <v>467.7023999999999</v>
      </c>
      <c r="I17" s="1">
        <v>0</v>
      </c>
      <c r="J17" s="1">
        <v>2998251.2889999999</v>
      </c>
      <c r="K17" s="1">
        <f>Input_Data!K17*State_Electricity_Factors!D17</f>
        <v>1032.7354978056071</v>
      </c>
      <c r="L17">
        <f>Input_Data!P17*Impact_Factors!$E$11</f>
        <v>1.41032</v>
      </c>
      <c r="M17">
        <f>Input_Data!Q17*Impact_Factors!$E$11</f>
        <v>7.4249199999999993</v>
      </c>
      <c r="N17">
        <f>Input_Data!R17*State_Electricity_Factors!D17</f>
        <v>166.6956322515</v>
      </c>
      <c r="O17">
        <f>Input_Data!S17*State_Electricity_Factors!D17</f>
        <v>190.7797330626</v>
      </c>
    </row>
    <row r="18" spans="1:15" ht="15.75" customHeight="1" x14ac:dyDescent="0.2">
      <c r="A18" s="1" t="s">
        <v>31</v>
      </c>
      <c r="B18" s="1">
        <f t="array" ref="B18:J18">Input_Data!$B18:$J18*TRANSPOSE(Impact_Factors!$E$2:$E$10)</f>
        <v>264.18599999999998</v>
      </c>
      <c r="C18" s="1">
        <v>27.236999999999995</v>
      </c>
      <c r="D18" s="1">
        <v>1139.6376</v>
      </c>
      <c r="E18" s="1">
        <v>410.33610000000004</v>
      </c>
      <c r="F18" s="1">
        <v>0.16059999999999999</v>
      </c>
      <c r="G18" s="1">
        <v>1334.0684999999999</v>
      </c>
      <c r="H18" s="1">
        <v>120.38639999999999</v>
      </c>
      <c r="I18" s="1">
        <v>0</v>
      </c>
      <c r="J18" s="1">
        <v>1703.349514</v>
      </c>
      <c r="K18" s="1">
        <f>Input_Data!K18*State_Electricity_Factors!D18</f>
        <v>804.35293717810953</v>
      </c>
      <c r="L18">
        <f>Input_Data!P18*Impact_Factors!$E$11</f>
        <v>1.41032</v>
      </c>
      <c r="M18">
        <f>Input_Data!Q18*Impact_Factors!$E$11</f>
        <v>7.4249199999999993</v>
      </c>
      <c r="N18">
        <f>Input_Data!R18*State_Electricity_Factors!D18</f>
        <v>228.23543535850001</v>
      </c>
      <c r="O18">
        <f>Input_Data!S18*State_Electricity_Factors!D18</f>
        <v>261.21077586140001</v>
      </c>
    </row>
    <row r="19" spans="1:15" ht="15.75" customHeight="1" x14ac:dyDescent="0.2">
      <c r="A19" s="1" t="s">
        <v>82</v>
      </c>
      <c r="B19" s="1" t="s">
        <v>82</v>
      </c>
    </row>
    <row r="20" spans="1:15" ht="15.75" customHeight="1" x14ac:dyDescent="0.2">
      <c r="A20" s="1" t="s">
        <v>83</v>
      </c>
    </row>
    <row r="21" spans="1:15" ht="15.75" customHeight="1" x14ac:dyDescent="0.2">
      <c r="A21" s="1" t="s">
        <v>0</v>
      </c>
      <c r="B21" s="1" t="s">
        <v>94</v>
      </c>
      <c r="C21" s="1" t="s">
        <v>95</v>
      </c>
      <c r="D21" s="1" t="s">
        <v>96</v>
      </c>
      <c r="E21" s="1" t="s">
        <v>97</v>
      </c>
      <c r="F21" s="1" t="s">
        <v>98</v>
      </c>
      <c r="G21" s="1" t="s">
        <v>99</v>
      </c>
      <c r="H21" s="1" t="s">
        <v>7</v>
      </c>
      <c r="I21" s="1" t="s">
        <v>100</v>
      </c>
      <c r="J21" s="1" t="s">
        <v>101</v>
      </c>
      <c r="K21" s="1" t="s">
        <v>102</v>
      </c>
      <c r="L21" s="6" t="s">
        <v>117</v>
      </c>
      <c r="M21" s="6" t="s">
        <v>118</v>
      </c>
      <c r="N21" s="6" t="s">
        <v>119</v>
      </c>
      <c r="O21" s="6" t="s">
        <v>120</v>
      </c>
    </row>
    <row r="22" spans="1:15" ht="15.75" customHeight="1" x14ac:dyDescent="0.2">
      <c r="A22" s="1" t="s">
        <v>15</v>
      </c>
      <c r="B22" s="1">
        <f t="array" ref="B22:J22">Input_Data_Electrified!$B2:$J2*TRANSPOSE(Impact_Factors!$E$2:$E$10)</f>
        <v>214.73579999999998</v>
      </c>
      <c r="C22" s="1">
        <v>10.8948</v>
      </c>
      <c r="D22" s="1">
        <v>1466.5104000000001</v>
      </c>
      <c r="E22" s="1">
        <v>761.82670000000007</v>
      </c>
      <c r="F22" s="1">
        <v>0.1749</v>
      </c>
      <c r="G22" s="1">
        <v>1458.7104999999999</v>
      </c>
      <c r="H22" s="1">
        <v>0</v>
      </c>
      <c r="I22" s="1">
        <v>0</v>
      </c>
      <c r="J22" s="1">
        <v>111785.90699999999</v>
      </c>
      <c r="K22" s="1">
        <f>Input_Data_Electrified!K2*State_Electricity_Factors!D2</f>
        <v>1133.1850925099141</v>
      </c>
      <c r="L22">
        <f>Input_Data_Electrified!P2*Impact_Factors!$E$11</f>
        <v>0</v>
      </c>
      <c r="M22">
        <f>Input_Data_Electrified!Q2*Impact_Factors!$E$11</f>
        <v>0</v>
      </c>
      <c r="N22">
        <f>Input_Data_Electrified!R2*State_Electricity_Factors!D2</f>
        <v>474.88997213779999</v>
      </c>
      <c r="O22">
        <f>Input_Data_Electrified!S2*State_Electricity_Factors!D2</f>
        <v>903.19573228165007</v>
      </c>
    </row>
    <row r="23" spans="1:15" ht="15.75" customHeight="1" x14ac:dyDescent="0.2">
      <c r="A23" s="1" t="s">
        <v>16</v>
      </c>
      <c r="B23" s="1">
        <f t="array" ref="B23:J23">Input_Data_Electrified!$B3:$J3*TRANSPOSE(Impact_Factors!$E$2:$E$10)</f>
        <v>97.545599999999993</v>
      </c>
      <c r="C23" s="1">
        <v>7.0037999999999991</v>
      </c>
      <c r="D23" s="1">
        <v>369.57240000000002</v>
      </c>
      <c r="E23" s="1">
        <v>10.977900000000002</v>
      </c>
      <c r="F23" s="1">
        <v>3.9599999999999996E-2</v>
      </c>
      <c r="G23" s="1">
        <v>1561.7089999999998</v>
      </c>
      <c r="H23" s="1">
        <v>0</v>
      </c>
      <c r="I23" s="1">
        <v>0</v>
      </c>
      <c r="J23" s="1">
        <v>7132124.3940000003</v>
      </c>
      <c r="K23" s="1">
        <f>Input_Data_Electrified!K3*State_Electricity_Factors!D3</f>
        <v>3072.5607854523646</v>
      </c>
      <c r="L23">
        <f>Input_Data_Electrified!P3*Impact_Factors!$E$11</f>
        <v>0</v>
      </c>
      <c r="M23">
        <f>Input_Data_Electrified!Q3*Impact_Factors!$E$11</f>
        <v>0</v>
      </c>
      <c r="N23">
        <f>Input_Data_Electrified!R3*State_Electricity_Factors!D3</f>
        <v>475.86311241599998</v>
      </c>
      <c r="O23">
        <f>Input_Data_Electrified!S3*State_Electricity_Factors!D3</f>
        <v>905.04655288800006</v>
      </c>
    </row>
    <row r="24" spans="1:15" ht="15.75" customHeight="1" x14ac:dyDescent="0.2">
      <c r="A24" s="1" t="s">
        <v>17</v>
      </c>
      <c r="B24" s="1">
        <f t="array" ref="B24:J24">Input_Data_Electrified!$B4:$J4*TRANSPOSE(Impact_Factors!$E$2:$E$10)</f>
        <v>170.70479999999998</v>
      </c>
      <c r="C24" s="1">
        <v>46.691999999999993</v>
      </c>
      <c r="D24" s="1">
        <v>1177.1838</v>
      </c>
      <c r="E24" s="1">
        <v>599.92740000000003</v>
      </c>
      <c r="F24" s="1">
        <v>0.23760000000000001</v>
      </c>
      <c r="G24" s="1">
        <v>1570.4585</v>
      </c>
      <c r="H24" s="1">
        <v>0</v>
      </c>
      <c r="I24" s="1">
        <v>0</v>
      </c>
      <c r="J24" s="1">
        <v>1435741.7220000001</v>
      </c>
      <c r="K24" s="1">
        <f>Input_Data_Electrified!K4*State_Electricity_Factors!D4</f>
        <v>1483.7352000950016</v>
      </c>
      <c r="L24">
        <f>Input_Data_Electrified!P4*Impact_Factors!$E$11</f>
        <v>0</v>
      </c>
      <c r="M24">
        <f>Input_Data_Electrified!Q4*Impact_Factors!$E$11</f>
        <v>0</v>
      </c>
      <c r="N24">
        <f>Input_Data_Electrified!R4*State_Electricity_Factors!D4</f>
        <v>435.58312873759996</v>
      </c>
      <c r="O24">
        <f>Input_Data_Electrified!S4*State_Electricity_Factors!D4</f>
        <v>828.43784036680006</v>
      </c>
    </row>
    <row r="25" spans="1:15" ht="15.75" customHeight="1" x14ac:dyDescent="0.2">
      <c r="A25" s="1" t="s">
        <v>18</v>
      </c>
      <c r="B25" s="1">
        <f t="array" ref="B25:J25">Input_Data_Electrified!$B5:$J5*TRANSPOSE(Impact_Factors!$E$2:$E$10)</f>
        <v>86.029799999999994</v>
      </c>
      <c r="C25" s="1">
        <v>18.287699999999997</v>
      </c>
      <c r="D25" s="1">
        <v>153.86580000000001</v>
      </c>
      <c r="E25" s="1">
        <v>83.768300000000011</v>
      </c>
      <c r="F25" s="1">
        <v>0.1419</v>
      </c>
      <c r="G25" s="1">
        <v>1009.4160000000001</v>
      </c>
      <c r="H25" s="1">
        <v>0</v>
      </c>
      <c r="I25" s="1">
        <v>0</v>
      </c>
      <c r="J25" s="1">
        <v>5342918.0189999994</v>
      </c>
      <c r="K25" s="1">
        <f>Input_Data_Electrified!K5*State_Electricity_Factors!D5</f>
        <v>3661.4353311266545</v>
      </c>
      <c r="L25">
        <f>Input_Data_Electrified!P5*Impact_Factors!$E$11</f>
        <v>0</v>
      </c>
      <c r="M25">
        <f>Input_Data_Electrified!Q5*Impact_Factors!$E$11</f>
        <v>0</v>
      </c>
      <c r="N25">
        <f>Input_Data_Electrified!R5*State_Electricity_Factors!D5</f>
        <v>870.00751812079989</v>
      </c>
      <c r="O25">
        <f>Input_Data_Electrified!S5*State_Electricity_Factors!D5</f>
        <v>1654.6718682694</v>
      </c>
    </row>
    <row r="26" spans="1:15" ht="15.75" customHeight="1" x14ac:dyDescent="0.2">
      <c r="A26" s="1" t="s">
        <v>19</v>
      </c>
      <c r="B26" s="1">
        <f t="array" ref="B26:J26">Input_Data_Electrified!$B6:$J6*TRANSPOSE(Impact_Factors!$E$2:$E$10)</f>
        <v>264.18599999999998</v>
      </c>
      <c r="C26" s="1">
        <v>27.236999999999995</v>
      </c>
      <c r="D26" s="1">
        <v>1139.6376</v>
      </c>
      <c r="E26" s="1">
        <v>410.33610000000004</v>
      </c>
      <c r="F26" s="1">
        <v>0.16059999999999999</v>
      </c>
      <c r="G26" s="1">
        <v>1334.0684999999999</v>
      </c>
      <c r="H26" s="1">
        <v>0</v>
      </c>
      <c r="I26" s="1">
        <v>0</v>
      </c>
      <c r="J26" s="1">
        <v>344354.88010000001</v>
      </c>
      <c r="K26" s="1">
        <f>Input_Data_Electrified!K6*State_Electricity_Factors!D6</f>
        <v>839.64476153313365</v>
      </c>
      <c r="L26">
        <f>Input_Data_Electrified!P6*Impact_Factors!$E$11</f>
        <v>0</v>
      </c>
      <c r="M26">
        <f>Input_Data_Electrified!Q6*Impact_Factors!$E$11</f>
        <v>0</v>
      </c>
      <c r="N26">
        <f>Input_Data_Electrified!R6*State_Electricity_Factors!D6</f>
        <v>208.74612473099998</v>
      </c>
      <c r="O26">
        <f>Input_Data_Electrified!S6*State_Electricity_Factors!D6</f>
        <v>397.01535102675001</v>
      </c>
    </row>
    <row r="27" spans="1:15" ht="15.75" customHeight="1" x14ac:dyDescent="0.2">
      <c r="A27" s="1" t="s">
        <v>20</v>
      </c>
      <c r="B27" s="1">
        <f t="array" ref="B27:J27">Input_Data_Electrified!$B7:$J7*TRANSPOSE(Impact_Factors!$E$2:$E$10)</f>
        <v>188.31719999999999</v>
      </c>
      <c r="C27" s="1">
        <v>11.672999999999998</v>
      </c>
      <c r="D27" s="1">
        <v>1639.5174000000002</v>
      </c>
      <c r="E27" s="1">
        <v>773.89250000000004</v>
      </c>
      <c r="F27" s="1">
        <v>0.17710000000000001</v>
      </c>
      <c r="G27" s="1">
        <v>1344.1994999999999</v>
      </c>
      <c r="H27" s="1">
        <v>0</v>
      </c>
      <c r="I27" s="1">
        <v>0</v>
      </c>
      <c r="J27" s="1">
        <v>446116.13549999997</v>
      </c>
      <c r="K27" s="1">
        <f>Input_Data_Electrified!K7*State_Electricity_Factors!D7</f>
        <v>1311.6168124971066</v>
      </c>
      <c r="L27">
        <f>Input_Data_Electrified!P7*Impact_Factors!$E$11</f>
        <v>0</v>
      </c>
      <c r="M27">
        <f>Input_Data_Electrified!Q7*Impact_Factors!$E$11</f>
        <v>0</v>
      </c>
      <c r="N27">
        <f>Input_Data_Electrified!R7*State_Electricity_Factors!D7</f>
        <v>312.4457639318</v>
      </c>
      <c r="O27">
        <f>Input_Data_Electrified!S7*State_Electricity_Factors!D7</f>
        <v>594.24223948615008</v>
      </c>
    </row>
    <row r="28" spans="1:15" ht="15.75" customHeight="1" x14ac:dyDescent="0.2">
      <c r="A28" s="1" t="s">
        <v>21</v>
      </c>
      <c r="B28" s="1">
        <f t="array" ref="B28:J28">Input_Data_Electrified!$B8:$J8*TRANSPOSE(Impact_Factors!$E$2:$E$10)</f>
        <v>264.18599999999998</v>
      </c>
      <c r="C28" s="1">
        <v>27.236999999999995</v>
      </c>
      <c r="D28" s="1">
        <v>1139.6376</v>
      </c>
      <c r="E28" s="1">
        <v>410.33610000000004</v>
      </c>
      <c r="F28" s="1">
        <v>0.16059999999999999</v>
      </c>
      <c r="G28" s="1">
        <v>1334.0684999999999</v>
      </c>
      <c r="H28" s="1">
        <v>0</v>
      </c>
      <c r="I28" s="1">
        <v>0</v>
      </c>
      <c r="J28" s="1">
        <v>480094.56329999998</v>
      </c>
      <c r="K28" s="1">
        <f>Input_Data_Electrified!K8*State_Electricity_Factors!D8</f>
        <v>1457.6004144427714</v>
      </c>
      <c r="L28">
        <f>Input_Data_Electrified!P8*Impact_Factors!$E$11</f>
        <v>0</v>
      </c>
      <c r="M28">
        <f>Input_Data_Electrified!Q8*Impact_Factors!$E$11</f>
        <v>0</v>
      </c>
      <c r="N28">
        <f>Input_Data_Electrified!R8*State_Electricity_Factors!D8</f>
        <v>212.24742333579997</v>
      </c>
      <c r="O28">
        <f>Input_Data_Electrified!S8*State_Electricity_Factors!D8</f>
        <v>403.67448923314998</v>
      </c>
    </row>
    <row r="29" spans="1:15" ht="15.75" customHeight="1" x14ac:dyDescent="0.2">
      <c r="A29" s="1" t="s">
        <v>22</v>
      </c>
      <c r="B29" s="1">
        <f t="array" ref="B29:J29">Input_Data_Electrified!$B9:$J9*TRANSPOSE(Impact_Factors!$E$2:$E$10)</f>
        <v>258.76679999999999</v>
      </c>
      <c r="C29" s="1">
        <v>56.808599999999991</v>
      </c>
      <c r="D29" s="1">
        <v>1257.4295999999999</v>
      </c>
      <c r="E29" s="1">
        <v>550.47739999999999</v>
      </c>
      <c r="F29" s="1">
        <v>0.19139999999999999</v>
      </c>
      <c r="G29" s="1">
        <v>1080.3329999999999</v>
      </c>
      <c r="H29" s="1">
        <v>0</v>
      </c>
      <c r="I29" s="1">
        <v>0</v>
      </c>
      <c r="J29" s="1">
        <v>444194.65889999998</v>
      </c>
      <c r="K29" s="1">
        <f>Input_Data_Electrified!K9*State_Electricity_Factors!D9</f>
        <v>960.29187244021909</v>
      </c>
      <c r="L29">
        <f>Input_Data_Electrified!P9*Impact_Factors!$E$11</f>
        <v>0</v>
      </c>
      <c r="M29">
        <f>Input_Data_Electrified!Q9*Impact_Factors!$E$11</f>
        <v>0</v>
      </c>
      <c r="N29">
        <f>Input_Data_Electrified!R9*State_Electricity_Factors!D9</f>
        <v>255.42425520599997</v>
      </c>
      <c r="O29">
        <f>Input_Data_Electrified!S9*State_Electricity_Factors!D9</f>
        <v>485.79273254550003</v>
      </c>
    </row>
    <row r="30" spans="1:15" ht="15.75" customHeight="1" x14ac:dyDescent="0.2">
      <c r="A30" s="1" t="s">
        <v>23</v>
      </c>
      <c r="B30" s="1">
        <f t="array" ref="B30:J30">Input_Data_Electrified!$B10:$J10*TRANSPOSE(Impact_Factors!$E$2:$E$10)</f>
        <v>222.8646</v>
      </c>
      <c r="C30" s="1">
        <v>54.47399999999999</v>
      </c>
      <c r="D30" s="1">
        <v>735.46380000000011</v>
      </c>
      <c r="E30" s="1">
        <v>565.70800000000008</v>
      </c>
      <c r="F30" s="1">
        <v>0.16720000000000002</v>
      </c>
      <c r="G30" s="1">
        <v>1342.204</v>
      </c>
      <c r="H30" s="1">
        <v>0</v>
      </c>
      <c r="I30" s="1">
        <v>0</v>
      </c>
      <c r="J30" s="1">
        <v>463419.45539999998</v>
      </c>
      <c r="K30" s="1">
        <f>Input_Data_Electrified!K10*State_Electricity_Factors!D10</f>
        <v>653.34304440834944</v>
      </c>
      <c r="L30">
        <f>Input_Data_Electrified!P10*Impact_Factors!$E$11</f>
        <v>0</v>
      </c>
      <c r="M30">
        <f>Input_Data_Electrified!Q10*Impact_Factors!$E$11</f>
        <v>0</v>
      </c>
      <c r="N30">
        <f>Input_Data_Electrified!R10*State_Electricity_Factors!D10</f>
        <v>190.87595758113997</v>
      </c>
      <c r="O30">
        <f>Input_Data_Electrified!S10*State_Electricity_Factors!D10</f>
        <v>363.02798626464499</v>
      </c>
    </row>
    <row r="31" spans="1:15" ht="15.75" customHeight="1" x14ac:dyDescent="0.2">
      <c r="A31" s="1" t="s">
        <v>24</v>
      </c>
      <c r="B31" s="1">
        <f t="array" ref="B31:J31">Input_Data_Electrified!$B11:$J11*TRANSPOSE(Impact_Factors!$E$2:$E$10)</f>
        <v>142.93139999999997</v>
      </c>
      <c r="C31" s="1">
        <v>35.408099999999997</v>
      </c>
      <c r="D31" s="1">
        <v>1089.576</v>
      </c>
      <c r="E31" s="1">
        <v>483.52210000000002</v>
      </c>
      <c r="F31" s="1">
        <v>0.24859999999999999</v>
      </c>
      <c r="G31" s="1">
        <v>1196.0719999999999</v>
      </c>
      <c r="H31" s="1">
        <v>0</v>
      </c>
      <c r="I31" s="1">
        <v>0</v>
      </c>
      <c r="J31" s="1">
        <v>651568.59310000006</v>
      </c>
      <c r="K31" s="1">
        <f>Input_Data_Electrified!K11*State_Electricity_Factors!D11</f>
        <v>1824.4724840303807</v>
      </c>
      <c r="L31">
        <f>Input_Data_Electrified!P11*Impact_Factors!$E$11</f>
        <v>0</v>
      </c>
      <c r="M31">
        <f>Input_Data_Electrified!Q11*Impact_Factors!$E$11</f>
        <v>0</v>
      </c>
      <c r="N31">
        <f>Input_Data_Electrified!R11*State_Electricity_Factors!D11</f>
        <v>371.02730689199996</v>
      </c>
      <c r="O31">
        <f>Input_Data_Electrified!S11*State_Electricity_Factors!D11</f>
        <v>705.65878373099997</v>
      </c>
    </row>
    <row r="32" spans="1:15" ht="15.75" customHeight="1" x14ac:dyDescent="0.2">
      <c r="A32" s="1" t="s">
        <v>25</v>
      </c>
      <c r="B32" s="1">
        <f t="array" ref="B32:J32">Input_Data_Electrified!$B12:$J12*TRANSPOSE(Impact_Factors!$E$2:$E$10)</f>
        <v>264.18599999999998</v>
      </c>
      <c r="C32" s="1">
        <v>27.236999999999995</v>
      </c>
      <c r="D32" s="1">
        <v>1139.6376</v>
      </c>
      <c r="E32" s="1">
        <v>410.33610000000004</v>
      </c>
      <c r="F32" s="1">
        <v>0.16059999999999999</v>
      </c>
      <c r="G32" s="1">
        <v>1334.0684999999999</v>
      </c>
      <c r="H32" s="1">
        <v>0</v>
      </c>
      <c r="I32" s="1">
        <v>0</v>
      </c>
      <c r="J32" s="1">
        <v>3962167.2739999997</v>
      </c>
      <c r="K32" s="1">
        <f>Input_Data_Electrified!K12*State_Electricity_Factors!D12</f>
        <v>3216.1785359340997</v>
      </c>
      <c r="L32">
        <f>Input_Data_Electrified!P12*Impact_Factors!$E$11</f>
        <v>0</v>
      </c>
      <c r="M32">
        <f>Input_Data_Electrified!Q12*Impact_Factors!$E$11</f>
        <v>0</v>
      </c>
      <c r="N32">
        <f>Input_Data_Electrified!R12*State_Electricity_Factors!D12</f>
        <v>255.93339827919996</v>
      </c>
      <c r="O32">
        <f>Input_Data_Electrified!S12*State_Electricity_Factors!D12</f>
        <v>486.76107443059999</v>
      </c>
    </row>
    <row r="33" spans="1:15" ht="15.75" customHeight="1" x14ac:dyDescent="0.2">
      <c r="A33" s="1" t="s">
        <v>26</v>
      </c>
      <c r="B33" s="1">
        <f t="array" ref="B33:J33">Input_Data_Electrified!$B13:$J13*TRANSPOSE(Impact_Factors!$E$2:$E$10)</f>
        <v>223.54199999999997</v>
      </c>
      <c r="C33" s="1">
        <v>22.178699999999996</v>
      </c>
      <c r="D33" s="1">
        <v>806.87520000000006</v>
      </c>
      <c r="E33" s="1">
        <v>712.27779999999996</v>
      </c>
      <c r="F33" s="1">
        <v>0.1628</v>
      </c>
      <c r="G33" s="1">
        <v>1145.8775000000001</v>
      </c>
      <c r="H33" s="1">
        <v>0</v>
      </c>
      <c r="I33" s="1">
        <v>0</v>
      </c>
      <c r="J33" s="1">
        <v>28744.973170000001</v>
      </c>
      <c r="K33" s="1">
        <f>Input_Data_Electrified!K13*State_Electricity_Factors!D13</f>
        <v>2018.9178794721233</v>
      </c>
      <c r="L33">
        <f>Input_Data_Electrified!P13*Impact_Factors!$E$11</f>
        <v>0</v>
      </c>
      <c r="M33">
        <f>Input_Data_Electrified!Q13*Impact_Factors!$E$11</f>
        <v>0</v>
      </c>
      <c r="N33">
        <f>Input_Data_Electrified!R13*State_Electricity_Factors!D13</f>
        <v>358.53950854359999</v>
      </c>
      <c r="O33">
        <f>Input_Data_Electrified!S13*State_Electricity_Factors!D13</f>
        <v>681.90817446230005</v>
      </c>
    </row>
    <row r="34" spans="1:15" ht="15.75" customHeight="1" x14ac:dyDescent="0.2">
      <c r="A34" s="1" t="s">
        <v>27</v>
      </c>
      <c r="B34" s="1">
        <f t="array" ref="B34:J34">Input_Data_Electrified!$B14:$J14*TRANSPOSE(Impact_Factors!$E$2:$E$10)</f>
        <v>440.30999999999995</v>
      </c>
      <c r="C34" s="1">
        <v>24.9024</v>
      </c>
      <c r="D34" s="1">
        <v>1416.8169000000003</v>
      </c>
      <c r="E34" s="1">
        <v>92.570400000000006</v>
      </c>
      <c r="F34" s="1">
        <v>0.21890000000000001</v>
      </c>
      <c r="G34" s="1">
        <v>1896.3389999999999</v>
      </c>
      <c r="H34" s="1">
        <v>0</v>
      </c>
      <c r="I34" s="1">
        <v>0</v>
      </c>
      <c r="J34" s="1">
        <v>1351246.3729999999</v>
      </c>
      <c r="K34" s="1">
        <f>Input_Data_Electrified!K14*State_Electricity_Factors!D14</f>
        <v>1750.9568483364874</v>
      </c>
      <c r="L34">
        <f>Input_Data_Electrified!P14*Impact_Factors!$E$11</f>
        <v>0</v>
      </c>
      <c r="M34">
        <f>Input_Data_Electrified!Q14*Impact_Factors!$E$11</f>
        <v>0</v>
      </c>
      <c r="N34">
        <f>Input_Data_Electrified!R14*State_Electricity_Factors!D14</f>
        <v>240.26784551719996</v>
      </c>
      <c r="O34">
        <f>Input_Data_Electrified!S14*State_Electricity_Factors!D14</f>
        <v>456.96667735210002</v>
      </c>
    </row>
    <row r="35" spans="1:15" ht="15.75" customHeight="1" x14ac:dyDescent="0.2">
      <c r="A35" s="1" t="s">
        <v>28</v>
      </c>
      <c r="B35" s="1">
        <f t="array" ref="B35:J35">Input_Data_Electrified!$B15:$J15*TRANSPOSE(Impact_Factors!$E$2:$E$10)</f>
        <v>269.60519999999997</v>
      </c>
      <c r="C35" s="1">
        <v>11.672999999999998</v>
      </c>
      <c r="D35" s="1">
        <v>1078.9011</v>
      </c>
      <c r="E35" s="1">
        <v>1053.8784000000001</v>
      </c>
      <c r="F35" s="1">
        <v>0.2717</v>
      </c>
      <c r="G35" s="1">
        <v>1498.0065</v>
      </c>
      <c r="H35" s="1">
        <v>0</v>
      </c>
      <c r="I35" s="1">
        <v>0</v>
      </c>
      <c r="J35" s="1">
        <v>194267.95910000001</v>
      </c>
      <c r="K35" s="1">
        <f>Input_Data_Electrified!K15*State_Electricity_Factors!D15</f>
        <v>1594.7791483726121</v>
      </c>
      <c r="L35">
        <f>Input_Data_Electrified!P15*Impact_Factors!$E$11</f>
        <v>0</v>
      </c>
      <c r="M35">
        <f>Input_Data_Electrified!Q15*Impact_Factors!$E$11</f>
        <v>0</v>
      </c>
      <c r="N35">
        <f>Input_Data_Electrified!R15*State_Electricity_Factors!D15</f>
        <v>369.6904929346</v>
      </c>
      <c r="O35">
        <f>Input_Data_Electrified!S15*State_Electricity_Factors!D15</f>
        <v>703.11629024405011</v>
      </c>
    </row>
    <row r="36" spans="1:15" ht="15.75" customHeight="1" x14ac:dyDescent="0.2">
      <c r="A36" s="1" t="s">
        <v>29</v>
      </c>
      <c r="B36" s="1">
        <f t="array" ref="B36:J36">Input_Data_Electrified!$B16:$J16*TRANSPOSE(Impact_Factors!$E$2:$E$10)</f>
        <v>206.60699999999997</v>
      </c>
      <c r="C36" s="1">
        <v>26.847899999999996</v>
      </c>
      <c r="D36" s="1">
        <v>1393.2585000000001</v>
      </c>
      <c r="E36" s="1">
        <v>678.05840000000001</v>
      </c>
      <c r="F36" s="1">
        <v>0.154</v>
      </c>
      <c r="G36" s="1">
        <v>1115.3309999999999</v>
      </c>
      <c r="H36" s="1">
        <v>0</v>
      </c>
      <c r="I36" s="1">
        <v>0</v>
      </c>
      <c r="J36" s="1">
        <v>101943.90180000001</v>
      </c>
      <c r="K36" s="1">
        <f>Input_Data_Electrified!K16*State_Electricity_Factors!D16</f>
        <v>1507.9500479759411</v>
      </c>
      <c r="L36">
        <f>Input_Data_Electrified!P16*Impact_Factors!$E$11</f>
        <v>0</v>
      </c>
      <c r="M36">
        <f>Input_Data_Electrified!Q16*Impact_Factors!$E$11</f>
        <v>0</v>
      </c>
      <c r="N36">
        <f>Input_Data_Electrified!R16*State_Electricity_Factors!D16</f>
        <v>659.91956344059997</v>
      </c>
      <c r="O36">
        <f>Input_Data_Electrified!S16*State_Electricity_Factors!D16</f>
        <v>1255.1044838145501</v>
      </c>
    </row>
    <row r="37" spans="1:15" ht="15.75" customHeight="1" x14ac:dyDescent="0.2">
      <c r="A37" s="1" t="s">
        <v>30</v>
      </c>
      <c r="B37" s="1">
        <f t="array" ref="B37:J37">Input_Data_Electrified!$B17:$J17*TRANSPOSE(Impact_Factors!$E$2:$E$10)</f>
        <v>386.11799999999999</v>
      </c>
      <c r="C37" s="1">
        <v>25.291499999999999</v>
      </c>
      <c r="D37" s="1">
        <v>1128.9627</v>
      </c>
      <c r="E37" s="1">
        <v>47.373100000000001</v>
      </c>
      <c r="F37" s="1">
        <v>0.1111</v>
      </c>
      <c r="G37" s="1">
        <v>1315.1880000000001</v>
      </c>
      <c r="H37" s="1">
        <v>0</v>
      </c>
      <c r="I37" s="1">
        <v>0</v>
      </c>
      <c r="J37" s="1">
        <v>2998251.2889999999</v>
      </c>
      <c r="K37" s="1">
        <f>Input_Data_Electrified!K17*State_Electricity_Factors!D17</f>
        <v>1754.1684483915026</v>
      </c>
      <c r="L37">
        <f>Input_Data_Electrified!P17*Impact_Factors!$E$11</f>
        <v>0</v>
      </c>
      <c r="M37">
        <f>Input_Data_Electrified!Q17*Impact_Factors!$E$11</f>
        <v>0</v>
      </c>
      <c r="N37">
        <f>Input_Data_Electrified!R17*State_Electricity_Factors!D17</f>
        <v>204.24158853779997</v>
      </c>
      <c r="O37">
        <f>Input_Data_Electrified!S17*State_Electricity_Factors!D17</f>
        <v>388.44814998165003</v>
      </c>
    </row>
    <row r="38" spans="1:15" ht="15.75" customHeight="1" x14ac:dyDescent="0.2">
      <c r="A38" s="1" t="s">
        <v>31</v>
      </c>
      <c r="B38" s="1">
        <f t="array" ref="B38:J38">Input_Data_Electrified!$B18:$J18*TRANSPOSE(Impact_Factors!$E$2:$E$10)</f>
        <v>264.18599999999998</v>
      </c>
      <c r="C38" s="1">
        <v>27.236999999999995</v>
      </c>
      <c r="D38" s="1">
        <v>1139.6376</v>
      </c>
      <c r="E38" s="1">
        <v>410.33610000000004</v>
      </c>
      <c r="F38" s="1">
        <v>0.16059999999999999</v>
      </c>
      <c r="G38" s="1">
        <v>1334.0684999999999</v>
      </c>
      <c r="H38" s="1">
        <v>0</v>
      </c>
      <c r="I38" s="1">
        <v>0</v>
      </c>
      <c r="J38" s="1">
        <v>1703.349514</v>
      </c>
      <c r="K38" s="1">
        <f>Input_Data_Electrified!K18*State_Electricity_Factors!D18</f>
        <v>1058.6039290331403</v>
      </c>
      <c r="L38">
        <f>Input_Data_Electrified!P18*Impact_Factors!$E$11</f>
        <v>0</v>
      </c>
      <c r="M38">
        <f>Input_Data_Electrified!Q18*Impact_Factors!$E$11</f>
        <v>0</v>
      </c>
      <c r="N38">
        <f>Input_Data_Electrified!R18*State_Electricity_Factors!D18</f>
        <v>279.64240723419999</v>
      </c>
      <c r="O38">
        <f>Input_Data_Electrified!S18*State_Electricity_Factors!D18</f>
        <v>531.85336308935007</v>
      </c>
    </row>
    <row r="39" spans="1:15" ht="15.75" customHeight="1" x14ac:dyDescent="0.2"/>
    <row r="40" spans="1:15" ht="15.75" customHeight="1" x14ac:dyDescent="0.2"/>
    <row r="41" spans="1:15" ht="15.75" customHeight="1" x14ac:dyDescent="0.2"/>
    <row r="42" spans="1:15" ht="15.75" customHeight="1" x14ac:dyDescent="0.2"/>
    <row r="43" spans="1:15" ht="15.75" customHeight="1" x14ac:dyDescent="0.2"/>
    <row r="44" spans="1:15" ht="15.75" customHeight="1" x14ac:dyDescent="0.2"/>
    <row r="45" spans="1:15" ht="15.75" customHeight="1" x14ac:dyDescent="0.2"/>
    <row r="46" spans="1:15" ht="15.75" customHeight="1" x14ac:dyDescent="0.2"/>
    <row r="47" spans="1:15" ht="15.75" customHeight="1" x14ac:dyDescent="0.2"/>
    <row r="48" spans="1:1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Input_Data</vt:lpstr>
      <vt:lpstr>Input_Data_Electrified</vt:lpstr>
      <vt:lpstr>Impact_Factors</vt:lpstr>
      <vt:lpstr>State_Electricity_Factors</vt:lpstr>
      <vt:lpstr>Scenario_Definitions</vt:lpstr>
      <vt:lpstr>Results_GHG_Breakdown</vt:lpstr>
      <vt:lpstr>Results_Energy_Breakdown</vt:lpstr>
      <vt:lpstr>Results_Water_Breakdown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Pengxiao Zhou</cp:lastModifiedBy>
  <dcterms:modified xsi:type="dcterms:W3CDTF">2026-09-26T22:32:15Z</dcterms:modified>
</cp:coreProperties>
</file>