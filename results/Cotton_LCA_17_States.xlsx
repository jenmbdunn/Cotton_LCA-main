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_Data" sheetId="1" r:id="rId4"/>
    <sheet state="visible" name="Input_Data_Electrified" sheetId="2" r:id="rId5"/>
    <sheet state="visible" name="Impact_Factors" sheetId="3" r:id="rId6"/>
    <sheet state="visible" name="State_Electricity_Factors" sheetId="4" r:id="rId7"/>
    <sheet state="visible" name="Scenario_Definitions" sheetId="5" r:id="rId8"/>
    <sheet state="visible" name="Results_GHG_Breakdown" sheetId="6" r:id="rId9"/>
    <sheet state="visible" name="Results_Energy_Breakdown" sheetId="7" r:id="rId10"/>
    <sheet state="visible" name="Results_Water_Breakdown" sheetId="8" r:id="rId11"/>
  </sheets>
  <definedNames/>
  <calcPr/>
  <extLst>
    <ext uri="GoogleSheetsCustomDataVersion2">
      <go:sheetsCustomData xmlns:go="http://customooxmlschemas.google.com/" r:id="rId12" roundtripDataChecksum="73VkxLK4sZgKPMTUFifxvRH4SijgbxX/rb4vzZqBA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2">
      <text>
        <t xml:space="preserve">======
ID#AAABqGjkoy0
tc={3A3A5592-7590-D843-9BC4-71105CED63CF}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(DRY)</t>
      </text>
    </comment>
    <comment authorId="0" ref="B6">
      <text>
        <t xml:space="preserve">======
ID#AAABqGUR4WE
tc={C9D2567C-C1F1-9D48-928A-D2D55E1EF6B4}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values</t>
      </text>
    </comment>
    <comment authorId="0" ref="I6">
      <text>
        <t xml:space="preserve">======
ID#AAABqGUR4WA
tc={9F561AE6-3C9B-E34A-A3AB-A03291EE4CD5}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(WET)</t>
      </text>
    </comment>
  </commentList>
  <extLst>
    <ext uri="GoogleSheetsCustomDataVersion2">
      <go:sheetsCustomData xmlns:go="http://customooxmlschemas.google.com/" r:id="rId1" roundtripDataSignature="AMtx7mg6oE311FC5mIYQhtHeZ83DKUTjm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======
ID#AAABqGjkoyw
tc={F054B9E5-B9F1-BB49-9BC3-3F6694BE4A91}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(WET)</t>
      </text>
    </comment>
    <comment authorId="0" ref="I12">
      <text>
        <t xml:space="preserve">======
ID#AAABqGUR4V8
tc={FD078654-5079-9A47-BE55-FC4A30D24DAF}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(DRY)</t>
      </text>
    </comment>
    <comment authorId="0" ref="B6">
      <text>
        <t xml:space="preserve">======
ID#AAABqGUR4V4
tc={DCFB97BA-1280-3D42-A38D-D0B8543D1D5D}    (2025-08-26 23:11:58)
[Threaded comment]
Your version of Excel allows you to read this threaded comment; however, any edits to it will get removed if the file is opened in a newer version of Excel. Learn more: https://go.microsoft.com/fwlink/?linkid=870924
Comment:
    national average values</t>
      </text>
    </comment>
  </commentList>
  <extLst>
    <ext uri="GoogleSheetsCustomDataVersion2">
      <go:sheetsCustomData xmlns:go="http://customooxmlschemas.google.com/" r:id="rId1" roundtripDataSignature="AMtx7mh4nKEVc9XuW6LohkCrCyfqKPHFQg=="/>
    </ext>
  </extLst>
</comments>
</file>

<file path=xl/sharedStrings.xml><?xml version="1.0" encoding="utf-8"?>
<sst xmlns="http://schemas.openxmlformats.org/spreadsheetml/2006/main" count="304" uniqueCount="103">
  <si>
    <t>State</t>
  </si>
  <si>
    <t>Herbicides (kg/1000kg lint)</t>
  </si>
  <si>
    <t>Insecticides (kg/1000kg lint)</t>
  </si>
  <si>
    <t>Phosphoric Acid (kg/1000kg lint)</t>
  </si>
  <si>
    <t>Potassium Oxide (kg/1000kg lint)</t>
  </si>
  <si>
    <t>Calcium Carbonate (kg/1000kg lint)</t>
  </si>
  <si>
    <t>N Fertilizer (kg/1000kg lint)</t>
  </si>
  <si>
    <t>Diesel (L/1000kg lint)</t>
  </si>
  <si>
    <t>N2O Emission (kg/1000kg lint)</t>
  </si>
  <si>
    <t>Irrigation Water (m³/1000kg lint)_year 2023 surveyed</t>
  </si>
  <si>
    <t>Electricity (kWh/1000kg lint)</t>
  </si>
  <si>
    <t>Irrigation Water (m³/1000kg lint)_year 2049 predicted ssp1</t>
  </si>
  <si>
    <t>Irrigation Water (m³/1000kg lint)_year 2049 predicted ssp2</t>
  </si>
  <si>
    <t>Irrigation Water (m³/1000kg lint)_year 2049 predicted ssp3</t>
  </si>
  <si>
    <t>Irrigation Water (m³/1000kg lint)_year 2049 predicted ssp5</t>
  </si>
  <si>
    <t>Alabama</t>
  </si>
  <si>
    <t>Arizona</t>
  </si>
  <si>
    <t>Arkansas</t>
  </si>
  <si>
    <t>California</t>
  </si>
  <si>
    <t>Florida</t>
  </si>
  <si>
    <t>Georgia</t>
  </si>
  <si>
    <t>Kansas</t>
  </si>
  <si>
    <t>Louisiana</t>
  </si>
  <si>
    <t>Mississippi</t>
  </si>
  <si>
    <t>Missouri</t>
  </si>
  <si>
    <t>New Mexico</t>
  </si>
  <si>
    <t>North Carolina</t>
  </si>
  <si>
    <t>Oklahoma</t>
  </si>
  <si>
    <t>South Carolina</t>
  </si>
  <si>
    <t>Tennessee</t>
  </si>
  <si>
    <t>Texas</t>
  </si>
  <si>
    <t>Virginia</t>
  </si>
  <si>
    <t>Component</t>
  </si>
  <si>
    <t>Unit</t>
  </si>
  <si>
    <t>GHG (kg CO2-eq/unit)</t>
  </si>
  <si>
    <t>Energy Use (MJ/unit)</t>
  </si>
  <si>
    <t>Water Use (L/unit)</t>
  </si>
  <si>
    <t>Data Source</t>
  </si>
  <si>
    <t>Herbicides</t>
  </si>
  <si>
    <t>kg</t>
  </si>
  <si>
    <t>GREET, MIX: FOR CORN STOVER</t>
  </si>
  <si>
    <t>Insecticides</t>
  </si>
  <si>
    <t>GREET, INSECTICIDES PATHWAY</t>
  </si>
  <si>
    <t>Phosphoric Acid</t>
  </si>
  <si>
    <t>GREET, PHOSPHORIC ACID</t>
  </si>
  <si>
    <t>Potassium Oxide</t>
  </si>
  <si>
    <t>GREET, POTASSIUM OXIDE PRODUCTION IN BRAZIL</t>
  </si>
  <si>
    <t>Calcium Carbonate</t>
  </si>
  <si>
    <t>GREET, CACO3 AS FERTILIZER PRODUCTS</t>
  </si>
  <si>
    <t>N Fertilizer Production</t>
  </si>
  <si>
    <t>kg N</t>
  </si>
  <si>
    <t>GREET, NITROGEN AVERAGE</t>
  </si>
  <si>
    <t>Diesel</t>
  </si>
  <si>
    <t>L</t>
  </si>
  <si>
    <t>GREET, DIESEL FOR NON ROAD</t>
  </si>
  <si>
    <t>N2O Emission</t>
  </si>
  <si>
    <t>kg N2O</t>
  </si>
  <si>
    <t>IPCC</t>
  </si>
  <si>
    <t>Irrigation Water</t>
  </si>
  <si>
    <t>m³</t>
  </si>
  <si>
    <t>GREET, PRIMARY RESOURCE</t>
  </si>
  <si>
    <t>GHG Factor (kg CO2-eq/kWh)</t>
  </si>
  <si>
    <t>Energy Factor (MJ/kWh)</t>
  </si>
  <si>
    <t>Water Factor (L/kWh)</t>
  </si>
  <si>
    <t>Scenario Name</t>
  </si>
  <si>
    <t>Description</t>
  </si>
  <si>
    <t>Other Changes</t>
  </si>
  <si>
    <t>Baseline</t>
  </si>
  <si>
    <t>Current practices</t>
  </si>
  <si>
    <t>None</t>
  </si>
  <si>
    <t>Pro Electricity</t>
  </si>
  <si>
    <t>Pro electricity: use 4.4 kwh electricity to replace 1 liter diesel</t>
  </si>
  <si>
    <t>Herbicides (kg CO2/1000kg lint)</t>
  </si>
  <si>
    <t>Insecticides (kg CO2/1000kg lint)</t>
  </si>
  <si>
    <t>Phosphoric Acid (kg CO2/1000kg lint)</t>
  </si>
  <si>
    <t>Potassium Oxide (kg CO2/1000kg lint)</t>
  </si>
  <si>
    <t>Calcium Carbonate (kg CO2/1000kg lint)</t>
  </si>
  <si>
    <t>N Fertilizer (kg CO2/1000kg lint)</t>
  </si>
  <si>
    <t>Diesel (kg CO2/1000kg lint)</t>
  </si>
  <si>
    <t>N2O Emission (kg CO2/1000kg lint)</t>
  </si>
  <si>
    <t>Irrigation Water (kg CO2/1000kg lint)_year 2023 surveyed</t>
  </si>
  <si>
    <t>Electricity (kg CO2 /1000 kg cotton lint)</t>
  </si>
  <si>
    <t/>
  </si>
  <si>
    <t>pro-electricity</t>
  </si>
  <si>
    <t>Herbicides (MJ/1000kg lint)</t>
  </si>
  <si>
    <t>Insecticides (MJ /1000kg lint)</t>
  </si>
  <si>
    <t>Phosphoric Acid (MJ/1000kg lint)</t>
  </si>
  <si>
    <t>Potassium Oxide (MJ/1000kg lint)</t>
  </si>
  <si>
    <t>Calcium Carbonate (MJ/1000kg lint)</t>
  </si>
  <si>
    <t>N Fertilizer (MJ/1000kg lint)</t>
  </si>
  <si>
    <t>Diesel (MJ/1000kg lint)</t>
  </si>
  <si>
    <t>N2O Emission (MJ/1000kg lint)</t>
  </si>
  <si>
    <t>Irrigation Water (MJ/1000kg lint)_year 2023 surveyed</t>
  </si>
  <si>
    <t>Electricity (MJ /1000 kg cotton lint)</t>
  </si>
  <si>
    <t>Herbicides (L/1000kg lint)</t>
  </si>
  <si>
    <t>Insecticides (L/1000kg lint)</t>
  </si>
  <si>
    <t>Phosphoric Acid (L/1000kg lint)</t>
  </si>
  <si>
    <t>Potassium Oxide (L/1000kg lint)</t>
  </si>
  <si>
    <t>Calcium Carbonate (L/1000kg lint)</t>
  </si>
  <si>
    <t>N Fertilizer (L/1000kg lint)</t>
  </si>
  <si>
    <t>N2O Emission (L/1000kg lint)</t>
  </si>
  <si>
    <t>Irrigation Water (L/1000kg lint)_year 2023 surveyed</t>
  </si>
  <si>
    <t>Electricity (L /1000 kg cotton lint)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</si>
</sst>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3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8.44"/>
    <col customWidth="1" min="3" max="3" width="8.78"/>
    <col customWidth="1" min="4" max="4" width="9.67"/>
    <col customWidth="1" min="5" max="5" width="10.78"/>
    <col customWidth="1" min="6" max="6" width="9.44"/>
    <col customWidth="1" min="7" max="7" width="16.44"/>
    <col customWidth="1" min="8" max="8" width="19.78"/>
    <col customWidth="1" min="9" max="9" width="10.11"/>
    <col customWidth="1" min="10" max="10" width="20.11"/>
    <col customWidth="1" min="11" max="11" width="20.33"/>
    <col customWidth="1" min="12" max="12" width="25.67"/>
    <col customWidth="1" min="13" max="13" width="25.78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 t="s">
        <v>15</v>
      </c>
      <c r="B2" s="1">
        <v>3.17</v>
      </c>
      <c r="C2" s="1">
        <v>0.28</v>
      </c>
      <c r="D2" s="1">
        <v>39.84</v>
      </c>
      <c r="E2" s="1">
        <v>77.03</v>
      </c>
      <c r="F2" s="1">
        <v>1.59</v>
      </c>
      <c r="G2" s="1">
        <v>95.03</v>
      </c>
      <c r="H2" s="1">
        <v>33.7</v>
      </c>
      <c r="I2" s="1">
        <v>3.0</v>
      </c>
      <c r="J2" s="1">
        <v>111.785907</v>
      </c>
      <c r="K2" s="1">
        <v>414.1</v>
      </c>
      <c r="L2" s="2">
        <v>138.4454701</v>
      </c>
      <c r="M2" s="2">
        <v>87.2215835</v>
      </c>
      <c r="N2" s="2">
        <v>226.4274086</v>
      </c>
      <c r="O2" s="2">
        <v>295.3712808</v>
      </c>
    </row>
    <row r="3" ht="15.75" customHeight="1">
      <c r="A3" s="1" t="s">
        <v>16</v>
      </c>
      <c r="B3" s="1">
        <v>1.44</v>
      </c>
      <c r="C3" s="1">
        <v>0.18</v>
      </c>
      <c r="D3" s="1">
        <v>10.04</v>
      </c>
      <c r="E3" s="1">
        <v>1.11</v>
      </c>
      <c r="F3" s="1">
        <v>0.36</v>
      </c>
      <c r="G3" s="1">
        <v>101.74</v>
      </c>
      <c r="H3" s="1">
        <v>95.6</v>
      </c>
      <c r="I3" s="1">
        <v>0.9</v>
      </c>
      <c r="J3" s="1">
        <v>7132.124394</v>
      </c>
      <c r="K3" s="1">
        <v>1101.1</v>
      </c>
      <c r="L3" s="2">
        <v>7479.52783</v>
      </c>
      <c r="M3" s="2">
        <v>7108.301585</v>
      </c>
      <c r="N3" s="2">
        <v>6587.135885</v>
      </c>
      <c r="O3" s="2">
        <v>7519.928825</v>
      </c>
    </row>
    <row r="4" ht="15.75" customHeight="1">
      <c r="A4" s="1" t="s">
        <v>17</v>
      </c>
      <c r="B4" s="1">
        <v>2.52</v>
      </c>
      <c r="C4" s="1">
        <v>1.2</v>
      </c>
      <c r="D4" s="1">
        <v>31.98</v>
      </c>
      <c r="E4" s="1">
        <v>60.66</v>
      </c>
      <c r="F4" s="1">
        <v>2.16</v>
      </c>
      <c r="G4" s="1">
        <v>102.31</v>
      </c>
      <c r="H4" s="1">
        <v>71.0</v>
      </c>
      <c r="I4" s="1">
        <v>3.2</v>
      </c>
      <c r="J4" s="1">
        <v>1435.741722</v>
      </c>
      <c r="K4" s="1">
        <v>490.4</v>
      </c>
      <c r="L4" s="2">
        <v>243.2221298</v>
      </c>
      <c r="M4" s="2">
        <v>308.1191233</v>
      </c>
      <c r="N4" s="2">
        <v>262.0439139</v>
      </c>
      <c r="O4" s="2">
        <v>347.2238354</v>
      </c>
    </row>
    <row r="5" ht="15.75" customHeight="1">
      <c r="A5" s="1" t="s">
        <v>18</v>
      </c>
      <c r="B5" s="1">
        <v>1.27</v>
      </c>
      <c r="C5" s="1">
        <v>0.47</v>
      </c>
      <c r="D5" s="1">
        <v>4.18</v>
      </c>
      <c r="E5" s="1">
        <v>8.47</v>
      </c>
      <c r="F5" s="1">
        <v>1.29</v>
      </c>
      <c r="G5" s="1">
        <v>65.76</v>
      </c>
      <c r="H5" s="1">
        <v>94.9</v>
      </c>
      <c r="I5" s="1">
        <v>0.6</v>
      </c>
      <c r="J5" s="1">
        <v>5342.918019</v>
      </c>
      <c r="K5" s="1">
        <v>574.3</v>
      </c>
      <c r="L5" s="2">
        <v>5546.426353</v>
      </c>
      <c r="M5" s="2">
        <v>3916.329002</v>
      </c>
      <c r="N5" s="2">
        <v>3287.626393</v>
      </c>
      <c r="O5" s="2">
        <v>4549.82487</v>
      </c>
    </row>
    <row r="6" ht="15.75" customHeight="1">
      <c r="A6" s="3" t="s">
        <v>19</v>
      </c>
      <c r="B6" s="3">
        <v>3.9</v>
      </c>
      <c r="C6" s="3">
        <v>0.7</v>
      </c>
      <c r="D6" s="3">
        <v>30.96</v>
      </c>
      <c r="E6" s="3">
        <v>41.49</v>
      </c>
      <c r="F6" s="3">
        <v>1.46</v>
      </c>
      <c r="G6" s="3">
        <v>86.91</v>
      </c>
      <c r="H6" s="1">
        <v>110.2</v>
      </c>
      <c r="I6" s="3">
        <v>2.7</v>
      </c>
      <c r="J6" s="1">
        <v>344.3548801</v>
      </c>
      <c r="K6" s="1">
        <v>463.1</v>
      </c>
      <c r="L6" s="2">
        <v>152.1640253</v>
      </c>
      <c r="M6" s="2">
        <v>123.7225628</v>
      </c>
      <c r="N6" s="2">
        <v>301.6898528</v>
      </c>
      <c r="O6" s="2">
        <v>65.79710472</v>
      </c>
    </row>
    <row r="7" ht="15.75" customHeight="1">
      <c r="A7" s="1" t="s">
        <v>20</v>
      </c>
      <c r="B7" s="1">
        <v>2.78</v>
      </c>
      <c r="C7" s="1">
        <v>0.3</v>
      </c>
      <c r="D7" s="1">
        <v>44.54</v>
      </c>
      <c r="E7" s="1">
        <v>78.25</v>
      </c>
      <c r="F7" s="1">
        <v>1.61</v>
      </c>
      <c r="G7" s="1">
        <v>87.57</v>
      </c>
      <c r="H7" s="1">
        <v>56.4</v>
      </c>
      <c r="I7" s="1">
        <v>2.8</v>
      </c>
      <c r="J7" s="1">
        <v>446.1161355</v>
      </c>
      <c r="K7" s="1">
        <v>741.2</v>
      </c>
      <c r="L7" s="2">
        <v>22.77814496</v>
      </c>
      <c r="M7" s="2">
        <v>25.70577611</v>
      </c>
      <c r="N7" s="2">
        <v>198.997802</v>
      </c>
      <c r="O7" s="2">
        <v>128.5741144</v>
      </c>
    </row>
    <row r="8" ht="15.75" customHeight="1">
      <c r="A8" s="3" t="s">
        <v>21</v>
      </c>
      <c r="B8" s="3">
        <v>3.9</v>
      </c>
      <c r="C8" s="3">
        <v>0.7</v>
      </c>
      <c r="D8" s="3">
        <v>30.96</v>
      </c>
      <c r="E8" s="3">
        <v>41.49</v>
      </c>
      <c r="F8" s="3">
        <v>1.46</v>
      </c>
      <c r="G8" s="3">
        <v>86.91</v>
      </c>
      <c r="H8" s="1">
        <v>101.3</v>
      </c>
      <c r="I8" s="3">
        <v>0.8</v>
      </c>
      <c r="J8" s="1">
        <v>480.0945633</v>
      </c>
      <c r="K8" s="1">
        <v>1172.8</v>
      </c>
      <c r="L8" s="2">
        <v>2466.651561</v>
      </c>
      <c r="M8" s="2">
        <v>2327.34635</v>
      </c>
      <c r="N8" s="2">
        <v>1947.450472</v>
      </c>
      <c r="O8" s="2">
        <v>1918.090984</v>
      </c>
    </row>
    <row r="9" ht="15.75" customHeight="1">
      <c r="A9" s="1" t="s">
        <v>22</v>
      </c>
      <c r="B9" s="1">
        <v>3.82</v>
      </c>
      <c r="C9" s="1">
        <v>1.46</v>
      </c>
      <c r="D9" s="1">
        <v>34.16</v>
      </c>
      <c r="E9" s="1">
        <v>55.66</v>
      </c>
      <c r="F9" s="1">
        <v>1.74</v>
      </c>
      <c r="G9" s="1">
        <v>70.38</v>
      </c>
      <c r="H9" s="1">
        <v>82.4</v>
      </c>
      <c r="I9" s="1">
        <v>2.2</v>
      </c>
      <c r="J9" s="1">
        <v>444.1946589</v>
      </c>
      <c r="K9" s="1">
        <v>523.5</v>
      </c>
      <c r="L9" s="2">
        <v>426.2863954</v>
      </c>
      <c r="M9" s="2">
        <v>410.6811385</v>
      </c>
      <c r="N9" s="2">
        <v>325.2726527</v>
      </c>
      <c r="O9" s="2">
        <v>476.34834</v>
      </c>
    </row>
    <row r="10" ht="15.75" customHeight="1">
      <c r="A10" s="1" t="s">
        <v>23</v>
      </c>
      <c r="B10" s="1">
        <v>3.29</v>
      </c>
      <c r="C10" s="1">
        <v>1.4</v>
      </c>
      <c r="D10" s="1">
        <v>19.98</v>
      </c>
      <c r="E10" s="1">
        <v>57.2</v>
      </c>
      <c r="F10" s="1">
        <v>1.52</v>
      </c>
      <c r="G10" s="1">
        <v>87.44</v>
      </c>
      <c r="H10" s="1">
        <v>77.5</v>
      </c>
      <c r="I10" s="1">
        <v>2.8</v>
      </c>
      <c r="J10" s="1">
        <v>463.4194554</v>
      </c>
      <c r="K10" s="1">
        <v>465.7</v>
      </c>
      <c r="L10" s="2">
        <v>346.109314</v>
      </c>
      <c r="M10" s="2">
        <v>299.7424305</v>
      </c>
      <c r="N10" s="2">
        <v>337.5405342</v>
      </c>
      <c r="O10" s="2">
        <v>464.4240024</v>
      </c>
    </row>
    <row r="11" ht="15.75" customHeight="1">
      <c r="A11" s="1" t="s">
        <v>24</v>
      </c>
      <c r="B11" s="1">
        <v>2.11</v>
      </c>
      <c r="C11" s="1">
        <v>0.91</v>
      </c>
      <c r="D11" s="1">
        <v>29.6</v>
      </c>
      <c r="E11" s="1">
        <v>48.89</v>
      </c>
      <c r="F11" s="1">
        <v>2.26</v>
      </c>
      <c r="G11" s="1">
        <v>77.92</v>
      </c>
      <c r="H11" s="1">
        <v>93.8</v>
      </c>
      <c r="I11" s="1">
        <v>2.5</v>
      </c>
      <c r="J11" s="1">
        <v>651.5685931</v>
      </c>
      <c r="K11" s="1">
        <v>746.2</v>
      </c>
      <c r="L11" s="2">
        <v>1225.759413</v>
      </c>
      <c r="M11" s="2">
        <v>901.6597736</v>
      </c>
      <c r="N11" s="2">
        <v>507.3180555</v>
      </c>
      <c r="O11" s="2">
        <v>458.0338868</v>
      </c>
    </row>
    <row r="12" ht="15.75" customHeight="1">
      <c r="A12" s="3" t="s">
        <v>25</v>
      </c>
      <c r="B12" s="3">
        <v>3.9</v>
      </c>
      <c r="C12" s="3">
        <v>0.7</v>
      </c>
      <c r="D12" s="3">
        <v>30.96</v>
      </c>
      <c r="E12" s="3">
        <v>41.49</v>
      </c>
      <c r="F12" s="3">
        <v>1.46</v>
      </c>
      <c r="G12" s="3">
        <v>86.91</v>
      </c>
      <c r="H12" s="4">
        <v>199.9</v>
      </c>
      <c r="I12" s="3">
        <v>0.8</v>
      </c>
      <c r="J12" s="1">
        <v>3962.167274</v>
      </c>
      <c r="K12" s="1">
        <v>2082.1</v>
      </c>
      <c r="L12" s="2">
        <v>5836.957843</v>
      </c>
      <c r="M12" s="2">
        <v>5353.514823</v>
      </c>
      <c r="N12" s="2">
        <v>5252.76144</v>
      </c>
      <c r="O12" s="2">
        <v>5590.101357</v>
      </c>
    </row>
    <row r="13" ht="15.75" customHeight="1">
      <c r="A13" s="1" t="s">
        <v>26</v>
      </c>
      <c r="B13" s="1">
        <v>3.3</v>
      </c>
      <c r="C13" s="1">
        <v>0.57</v>
      </c>
      <c r="D13" s="1">
        <v>21.92</v>
      </c>
      <c r="E13" s="1">
        <v>72.02</v>
      </c>
      <c r="F13" s="1">
        <v>1.48</v>
      </c>
      <c r="G13" s="1">
        <v>74.65</v>
      </c>
      <c r="H13" s="1">
        <v>75.5</v>
      </c>
      <c r="I13" s="1">
        <v>2.4</v>
      </c>
      <c r="J13" s="1">
        <v>28.74497317</v>
      </c>
      <c r="K13" s="1">
        <v>994.9</v>
      </c>
      <c r="L13" s="2">
        <v>105.5389548</v>
      </c>
      <c r="M13" s="2">
        <v>47.03875902</v>
      </c>
      <c r="N13" s="2">
        <v>256.524411</v>
      </c>
      <c r="O13" s="2">
        <v>324.808405</v>
      </c>
    </row>
    <row r="14" ht="15.75" customHeight="1">
      <c r="A14" s="1" t="s">
        <v>27</v>
      </c>
      <c r="B14" s="1">
        <v>6.5</v>
      </c>
      <c r="C14" s="1">
        <v>0.64</v>
      </c>
      <c r="D14" s="1">
        <v>38.49</v>
      </c>
      <c r="E14" s="1">
        <v>9.36</v>
      </c>
      <c r="F14" s="1">
        <v>1.99</v>
      </c>
      <c r="G14" s="1">
        <v>123.54</v>
      </c>
      <c r="H14" s="1">
        <v>114.3</v>
      </c>
      <c r="I14" s="1">
        <v>1.1</v>
      </c>
      <c r="J14" s="1">
        <v>1351.246373</v>
      </c>
      <c r="K14" s="1">
        <v>1214.6</v>
      </c>
      <c r="L14" s="2">
        <v>2203.423747</v>
      </c>
      <c r="M14" s="2">
        <v>1724.596202</v>
      </c>
      <c r="N14" s="2">
        <v>1765.362515</v>
      </c>
      <c r="O14" s="2">
        <v>893.2781744</v>
      </c>
    </row>
    <row r="15" ht="15.75" customHeight="1">
      <c r="A15" s="1" t="s">
        <v>28</v>
      </c>
      <c r="B15" s="1">
        <v>3.98</v>
      </c>
      <c r="C15" s="1">
        <v>0.3</v>
      </c>
      <c r="D15" s="1">
        <v>29.31</v>
      </c>
      <c r="E15" s="1">
        <v>106.56</v>
      </c>
      <c r="F15" s="1">
        <v>2.47</v>
      </c>
      <c r="G15" s="1">
        <v>97.59</v>
      </c>
      <c r="H15" s="1">
        <v>65.2</v>
      </c>
      <c r="I15" s="1">
        <v>3.1</v>
      </c>
      <c r="J15" s="1">
        <v>194.2679591</v>
      </c>
      <c r="K15" s="1">
        <v>729.8</v>
      </c>
      <c r="L15" s="2">
        <v>14.63202173</v>
      </c>
      <c r="M15" s="2">
        <v>18.66702421</v>
      </c>
      <c r="N15" s="2">
        <v>234.0932352</v>
      </c>
      <c r="O15" s="2">
        <v>164.416883</v>
      </c>
    </row>
    <row r="16" ht="15.75" customHeight="1">
      <c r="A16" s="1" t="s">
        <v>29</v>
      </c>
      <c r="B16" s="1">
        <v>3.05</v>
      </c>
      <c r="C16" s="1">
        <v>0.69</v>
      </c>
      <c r="D16" s="1">
        <v>37.85</v>
      </c>
      <c r="E16" s="1">
        <v>68.56</v>
      </c>
      <c r="F16" s="1">
        <v>1.4</v>
      </c>
      <c r="G16" s="1">
        <v>72.66</v>
      </c>
      <c r="H16" s="1">
        <v>26.1</v>
      </c>
      <c r="I16" s="1">
        <v>2.3</v>
      </c>
      <c r="J16" s="1">
        <v>101.9439018</v>
      </c>
      <c r="K16" s="1">
        <v>423.7</v>
      </c>
      <c r="L16" s="2">
        <v>229.2113233</v>
      </c>
      <c r="M16" s="2">
        <v>113.0027534</v>
      </c>
      <c r="N16" s="2">
        <v>272.0159709</v>
      </c>
      <c r="O16" s="2">
        <v>400.5614246</v>
      </c>
    </row>
    <row r="17" ht="15.75" customHeight="1">
      <c r="A17" s="1" t="s">
        <v>30</v>
      </c>
      <c r="B17" s="1">
        <v>5.7</v>
      </c>
      <c r="C17" s="1">
        <v>0.65</v>
      </c>
      <c r="D17" s="1">
        <v>30.67</v>
      </c>
      <c r="E17" s="1">
        <v>4.79</v>
      </c>
      <c r="F17" s="1">
        <v>1.01</v>
      </c>
      <c r="G17" s="1">
        <v>85.68</v>
      </c>
      <c r="H17" s="1">
        <v>189.2</v>
      </c>
      <c r="I17" s="1">
        <v>0.7</v>
      </c>
      <c r="J17" s="1">
        <v>2998.251289</v>
      </c>
      <c r="K17" s="1">
        <v>1191.7</v>
      </c>
      <c r="L17" s="2">
        <v>2320.737531</v>
      </c>
      <c r="M17" s="2">
        <v>1874.902387</v>
      </c>
      <c r="N17" s="2">
        <v>1994.792509</v>
      </c>
      <c r="O17" s="2">
        <v>2082.01091</v>
      </c>
    </row>
    <row r="18" ht="15.75" customHeight="1">
      <c r="A18" s="3" t="s">
        <v>31</v>
      </c>
      <c r="B18" s="3">
        <v>3.9</v>
      </c>
      <c r="C18" s="3">
        <v>0.7</v>
      </c>
      <c r="D18" s="3">
        <v>30.96</v>
      </c>
      <c r="E18" s="3">
        <v>41.49</v>
      </c>
      <c r="F18" s="3">
        <v>1.46</v>
      </c>
      <c r="G18" s="3">
        <v>86.91</v>
      </c>
      <c r="H18" s="4">
        <v>48.7</v>
      </c>
      <c r="I18" s="3">
        <v>2.7</v>
      </c>
      <c r="J18" s="1">
        <v>1.703349514</v>
      </c>
      <c r="K18" s="1">
        <v>677.9</v>
      </c>
      <c r="L18" s="2">
        <v>14.11236367</v>
      </c>
      <c r="M18" s="2">
        <v>8.633897741</v>
      </c>
      <c r="N18" s="2">
        <v>64.78286773</v>
      </c>
      <c r="O18" s="2">
        <v>203.2658693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8.44"/>
    <col customWidth="1" min="3" max="3" width="8.78"/>
    <col customWidth="1" min="4" max="4" width="9.67"/>
    <col customWidth="1" min="5" max="5" width="10.78"/>
    <col customWidth="1" min="6" max="6" width="9.44"/>
    <col customWidth="1" min="7" max="7" width="16.44"/>
    <col customWidth="1" min="8" max="8" width="19.78"/>
    <col customWidth="1" min="9" max="9" width="10.11"/>
    <col customWidth="1" min="10" max="11" width="20.11"/>
    <col customWidth="1" min="12" max="12" width="25.67"/>
    <col customWidth="1" min="13" max="13" width="25.78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 t="s">
        <v>15</v>
      </c>
      <c r="B2" s="1">
        <v>3.17</v>
      </c>
      <c r="C2" s="1">
        <v>0.28</v>
      </c>
      <c r="D2" s="1">
        <v>39.84</v>
      </c>
      <c r="E2" s="1">
        <v>77.03</v>
      </c>
      <c r="F2" s="1">
        <v>1.59</v>
      </c>
      <c r="G2" s="1">
        <v>95.03</v>
      </c>
      <c r="H2" s="1">
        <v>0.0</v>
      </c>
      <c r="I2" s="1">
        <v>3.0</v>
      </c>
      <c r="J2" s="1">
        <v>111.785907</v>
      </c>
      <c r="K2" s="1">
        <v>562.3800000000001</v>
      </c>
      <c r="L2" s="2">
        <v>138.4454701</v>
      </c>
      <c r="M2" s="2">
        <v>87.2215835</v>
      </c>
      <c r="N2" s="2">
        <v>226.4274086</v>
      </c>
      <c r="O2" s="2">
        <v>295.3712808</v>
      </c>
    </row>
    <row r="3" ht="15.75" customHeight="1">
      <c r="A3" s="1" t="s">
        <v>16</v>
      </c>
      <c r="B3" s="1">
        <v>1.44</v>
      </c>
      <c r="C3" s="1">
        <v>0.18</v>
      </c>
      <c r="D3" s="1">
        <v>10.04</v>
      </c>
      <c r="E3" s="1">
        <v>1.11</v>
      </c>
      <c r="F3" s="1">
        <v>0.36</v>
      </c>
      <c r="G3" s="1">
        <v>101.74</v>
      </c>
      <c r="H3" s="1">
        <v>0.0</v>
      </c>
      <c r="I3" s="1">
        <v>0.9</v>
      </c>
      <c r="J3" s="1">
        <v>7132.124394</v>
      </c>
      <c r="K3" s="1">
        <v>1521.7399999999998</v>
      </c>
      <c r="L3" s="2">
        <v>7479.52783</v>
      </c>
      <c r="M3" s="2">
        <v>7108.301585</v>
      </c>
      <c r="N3" s="2">
        <v>6587.135885</v>
      </c>
      <c r="O3" s="2">
        <v>7519.928825</v>
      </c>
    </row>
    <row r="4" ht="15.75" customHeight="1">
      <c r="A4" s="1" t="s">
        <v>17</v>
      </c>
      <c r="B4" s="1">
        <v>2.52</v>
      </c>
      <c r="C4" s="1">
        <v>1.2</v>
      </c>
      <c r="D4" s="1">
        <v>31.98</v>
      </c>
      <c r="E4" s="1">
        <v>60.66</v>
      </c>
      <c r="F4" s="1">
        <v>2.16</v>
      </c>
      <c r="G4" s="1">
        <v>102.31</v>
      </c>
      <c r="H4" s="1">
        <v>0.0</v>
      </c>
      <c r="I4" s="1">
        <v>3.2</v>
      </c>
      <c r="J4" s="1">
        <v>1435.741722</v>
      </c>
      <c r="K4" s="1">
        <v>802.8</v>
      </c>
      <c r="L4" s="2">
        <v>243.2221298</v>
      </c>
      <c r="M4" s="2">
        <v>308.1191233</v>
      </c>
      <c r="N4" s="2">
        <v>262.0439139</v>
      </c>
      <c r="O4" s="2">
        <v>347.2238354</v>
      </c>
    </row>
    <row r="5" ht="15.75" customHeight="1">
      <c r="A5" s="1" t="s">
        <v>18</v>
      </c>
      <c r="B5" s="1">
        <v>1.27</v>
      </c>
      <c r="C5" s="1">
        <v>0.47</v>
      </c>
      <c r="D5" s="1">
        <v>4.18</v>
      </c>
      <c r="E5" s="1">
        <v>8.47</v>
      </c>
      <c r="F5" s="1">
        <v>1.29</v>
      </c>
      <c r="G5" s="1">
        <v>65.76</v>
      </c>
      <c r="H5" s="1">
        <v>0.0</v>
      </c>
      <c r="I5" s="1">
        <v>0.6</v>
      </c>
      <c r="J5" s="1">
        <v>5342.918019</v>
      </c>
      <c r="K5" s="1">
        <v>991.86</v>
      </c>
      <c r="L5" s="2">
        <v>5546.426353</v>
      </c>
      <c r="M5" s="2">
        <v>3916.329002</v>
      </c>
      <c r="N5" s="2">
        <v>3287.626393</v>
      </c>
      <c r="O5" s="2">
        <v>4549.82487</v>
      </c>
    </row>
    <row r="6" ht="15.75" customHeight="1">
      <c r="A6" s="3" t="s">
        <v>19</v>
      </c>
      <c r="B6" s="3">
        <v>3.9</v>
      </c>
      <c r="C6" s="3">
        <v>0.7</v>
      </c>
      <c r="D6" s="3">
        <v>30.96</v>
      </c>
      <c r="E6" s="3">
        <v>41.49</v>
      </c>
      <c r="F6" s="3">
        <v>1.46</v>
      </c>
      <c r="G6" s="3">
        <v>86.91</v>
      </c>
      <c r="H6" s="1">
        <v>0.0</v>
      </c>
      <c r="I6" s="3">
        <v>2.7</v>
      </c>
      <c r="J6" s="1">
        <v>344.3548801</v>
      </c>
      <c r="K6" s="1">
        <v>947.98</v>
      </c>
      <c r="L6" s="2">
        <v>152.1640253</v>
      </c>
      <c r="M6" s="2">
        <v>123.7225628</v>
      </c>
      <c r="N6" s="2">
        <v>301.6898528</v>
      </c>
      <c r="O6" s="2">
        <v>65.79710472</v>
      </c>
    </row>
    <row r="7" ht="15.75" customHeight="1">
      <c r="A7" s="1" t="s">
        <v>20</v>
      </c>
      <c r="B7" s="1">
        <v>2.78</v>
      </c>
      <c r="C7" s="1">
        <v>0.3</v>
      </c>
      <c r="D7" s="1">
        <v>44.54</v>
      </c>
      <c r="E7" s="1">
        <v>78.25</v>
      </c>
      <c r="F7" s="1">
        <v>1.61</v>
      </c>
      <c r="G7" s="1">
        <v>87.57</v>
      </c>
      <c r="H7" s="1">
        <v>0.0</v>
      </c>
      <c r="I7" s="1">
        <v>2.8</v>
      </c>
      <c r="J7" s="1">
        <v>446.1161355</v>
      </c>
      <c r="K7" s="1">
        <v>989.3600000000001</v>
      </c>
      <c r="L7" s="2">
        <v>22.77814496</v>
      </c>
      <c r="M7" s="2">
        <v>25.70577611</v>
      </c>
      <c r="N7" s="2">
        <v>198.997802</v>
      </c>
      <c r="O7" s="2">
        <v>128.5741144</v>
      </c>
    </row>
    <row r="8" ht="15.75" customHeight="1">
      <c r="A8" s="3" t="s">
        <v>21</v>
      </c>
      <c r="B8" s="3">
        <v>3.9</v>
      </c>
      <c r="C8" s="3">
        <v>0.7</v>
      </c>
      <c r="D8" s="3">
        <v>30.96</v>
      </c>
      <c r="E8" s="3">
        <v>41.49</v>
      </c>
      <c r="F8" s="3">
        <v>1.46</v>
      </c>
      <c r="G8" s="3">
        <v>86.91</v>
      </c>
      <c r="H8" s="1">
        <v>0.0</v>
      </c>
      <c r="I8" s="3">
        <v>0.8</v>
      </c>
      <c r="J8" s="1">
        <v>480.0945633</v>
      </c>
      <c r="K8" s="1">
        <v>1618.52</v>
      </c>
      <c r="L8" s="2">
        <v>2466.651561</v>
      </c>
      <c r="M8" s="2">
        <v>2327.34635</v>
      </c>
      <c r="N8" s="2">
        <v>1947.450472</v>
      </c>
      <c r="O8" s="2">
        <v>1918.090984</v>
      </c>
    </row>
    <row r="9" ht="15.75" customHeight="1">
      <c r="A9" s="1" t="s">
        <v>22</v>
      </c>
      <c r="B9" s="1">
        <v>3.82</v>
      </c>
      <c r="C9" s="1">
        <v>1.46</v>
      </c>
      <c r="D9" s="1">
        <v>34.16</v>
      </c>
      <c r="E9" s="1">
        <v>55.66</v>
      </c>
      <c r="F9" s="1">
        <v>1.74</v>
      </c>
      <c r="G9" s="1">
        <v>70.38</v>
      </c>
      <c r="H9" s="1">
        <v>0.0</v>
      </c>
      <c r="I9" s="1">
        <v>2.2</v>
      </c>
      <c r="J9" s="1">
        <v>444.1946589</v>
      </c>
      <c r="K9" s="1">
        <v>886.0600000000001</v>
      </c>
      <c r="L9" s="2">
        <v>426.2863954</v>
      </c>
      <c r="M9" s="2">
        <v>410.6811385</v>
      </c>
      <c r="N9" s="2">
        <v>325.2726527</v>
      </c>
      <c r="O9" s="2">
        <v>476.34834</v>
      </c>
    </row>
    <row r="10" ht="15.75" customHeight="1">
      <c r="A10" s="1" t="s">
        <v>23</v>
      </c>
      <c r="B10" s="1">
        <v>3.29</v>
      </c>
      <c r="C10" s="1">
        <v>1.4</v>
      </c>
      <c r="D10" s="1">
        <v>19.98</v>
      </c>
      <c r="E10" s="1">
        <v>57.2</v>
      </c>
      <c r="F10" s="1">
        <v>1.52</v>
      </c>
      <c r="G10" s="1">
        <v>87.44</v>
      </c>
      <c r="H10" s="1">
        <v>0.0</v>
      </c>
      <c r="I10" s="1">
        <v>2.8</v>
      </c>
      <c r="J10" s="1">
        <v>463.4194554</v>
      </c>
      <c r="K10" s="1">
        <v>806.7</v>
      </c>
      <c r="L10" s="2">
        <v>346.109314</v>
      </c>
      <c r="M10" s="2">
        <v>299.7424305</v>
      </c>
      <c r="N10" s="2">
        <v>337.5405342</v>
      </c>
      <c r="O10" s="2">
        <v>464.4240024</v>
      </c>
    </row>
    <row r="11" ht="15.75" customHeight="1">
      <c r="A11" s="1" t="s">
        <v>24</v>
      </c>
      <c r="B11" s="1">
        <v>2.11</v>
      </c>
      <c r="C11" s="1">
        <v>0.91</v>
      </c>
      <c r="D11" s="1">
        <v>29.6</v>
      </c>
      <c r="E11" s="1">
        <v>48.89</v>
      </c>
      <c r="F11" s="1">
        <v>2.26</v>
      </c>
      <c r="G11" s="1">
        <v>77.92</v>
      </c>
      <c r="H11" s="1">
        <v>0.0</v>
      </c>
      <c r="I11" s="1">
        <v>2.5</v>
      </c>
      <c r="J11" s="1">
        <v>651.5685931</v>
      </c>
      <c r="K11" s="1">
        <v>1158.92</v>
      </c>
      <c r="L11" s="2">
        <v>1225.759413</v>
      </c>
      <c r="M11" s="2">
        <v>901.6597736</v>
      </c>
      <c r="N11" s="2">
        <v>507.3180555</v>
      </c>
      <c r="O11" s="2">
        <v>458.0338868</v>
      </c>
    </row>
    <row r="12" ht="15.75" customHeight="1">
      <c r="A12" s="3" t="s">
        <v>25</v>
      </c>
      <c r="B12" s="3">
        <v>3.9</v>
      </c>
      <c r="C12" s="3">
        <v>0.7</v>
      </c>
      <c r="D12" s="3">
        <v>30.96</v>
      </c>
      <c r="E12" s="3">
        <v>41.49</v>
      </c>
      <c r="F12" s="3">
        <v>1.46</v>
      </c>
      <c r="G12" s="3">
        <v>86.91</v>
      </c>
      <c r="H12" s="4">
        <v>0.0</v>
      </c>
      <c r="I12" s="3">
        <v>0.8</v>
      </c>
      <c r="J12" s="1">
        <v>3962.167274</v>
      </c>
      <c r="K12" s="1">
        <v>2961.66</v>
      </c>
      <c r="L12" s="2">
        <v>5836.957843</v>
      </c>
      <c r="M12" s="2">
        <v>5353.514823</v>
      </c>
      <c r="N12" s="2">
        <v>5252.76144</v>
      </c>
      <c r="O12" s="2">
        <v>5590.101357</v>
      </c>
    </row>
    <row r="13" ht="15.75" customHeight="1">
      <c r="A13" s="1" t="s">
        <v>26</v>
      </c>
      <c r="B13" s="1">
        <v>3.3</v>
      </c>
      <c r="C13" s="1">
        <v>0.57</v>
      </c>
      <c r="D13" s="1">
        <v>21.92</v>
      </c>
      <c r="E13" s="1">
        <v>72.02</v>
      </c>
      <c r="F13" s="1">
        <v>1.48</v>
      </c>
      <c r="G13" s="1">
        <v>74.65</v>
      </c>
      <c r="H13" s="1">
        <v>0.0</v>
      </c>
      <c r="I13" s="1">
        <v>2.4</v>
      </c>
      <c r="J13" s="1">
        <v>28.74497317</v>
      </c>
      <c r="K13" s="1">
        <v>1327.1</v>
      </c>
      <c r="L13" s="2">
        <v>105.5389548</v>
      </c>
      <c r="M13" s="2">
        <v>47.03875902</v>
      </c>
      <c r="N13" s="2">
        <v>256.524411</v>
      </c>
      <c r="O13" s="2">
        <v>324.808405</v>
      </c>
    </row>
    <row r="14" ht="15.75" customHeight="1">
      <c r="A14" s="1" t="s">
        <v>27</v>
      </c>
      <c r="B14" s="1">
        <v>6.5</v>
      </c>
      <c r="C14" s="1">
        <v>0.64</v>
      </c>
      <c r="D14" s="1">
        <v>38.49</v>
      </c>
      <c r="E14" s="1">
        <v>9.36</v>
      </c>
      <c r="F14" s="1">
        <v>1.99</v>
      </c>
      <c r="G14" s="1">
        <v>123.54</v>
      </c>
      <c r="H14" s="1">
        <v>0.0</v>
      </c>
      <c r="I14" s="1">
        <v>1.1</v>
      </c>
      <c r="J14" s="1">
        <v>1351.246373</v>
      </c>
      <c r="K14" s="1">
        <v>1717.52</v>
      </c>
      <c r="L14" s="2">
        <v>2203.423747</v>
      </c>
      <c r="M14" s="2">
        <v>1724.596202</v>
      </c>
      <c r="N14" s="2">
        <v>1765.362515</v>
      </c>
      <c r="O14" s="2">
        <v>893.2781744</v>
      </c>
    </row>
    <row r="15" ht="15.75" customHeight="1">
      <c r="A15" s="1" t="s">
        <v>28</v>
      </c>
      <c r="B15" s="1">
        <v>3.98</v>
      </c>
      <c r="C15" s="1">
        <v>0.3</v>
      </c>
      <c r="D15" s="1">
        <v>29.31</v>
      </c>
      <c r="E15" s="1">
        <v>106.56</v>
      </c>
      <c r="F15" s="1">
        <v>2.47</v>
      </c>
      <c r="G15" s="1">
        <v>97.59</v>
      </c>
      <c r="H15" s="1">
        <v>0.0</v>
      </c>
      <c r="I15" s="1">
        <v>3.1</v>
      </c>
      <c r="J15" s="1">
        <v>194.2679591</v>
      </c>
      <c r="K15" s="1">
        <v>1016.6800000000001</v>
      </c>
      <c r="L15" s="2">
        <v>14.63202173</v>
      </c>
      <c r="M15" s="2">
        <v>18.66702421</v>
      </c>
      <c r="N15" s="2">
        <v>234.0932352</v>
      </c>
      <c r="O15" s="2">
        <v>164.416883</v>
      </c>
    </row>
    <row r="16" ht="15.75" customHeight="1">
      <c r="A16" s="1" t="s">
        <v>29</v>
      </c>
      <c r="B16" s="1">
        <v>3.05</v>
      </c>
      <c r="C16" s="1">
        <v>0.69</v>
      </c>
      <c r="D16" s="1">
        <v>37.85</v>
      </c>
      <c r="E16" s="1">
        <v>68.56</v>
      </c>
      <c r="F16" s="1">
        <v>1.4</v>
      </c>
      <c r="G16" s="1">
        <v>72.66</v>
      </c>
      <c r="H16" s="1">
        <v>0.0</v>
      </c>
      <c r="I16" s="1">
        <v>2.3</v>
      </c>
      <c r="J16" s="1">
        <v>101.9439018</v>
      </c>
      <c r="K16" s="1">
        <v>538.54</v>
      </c>
      <c r="L16" s="2">
        <v>229.2113233</v>
      </c>
      <c r="M16" s="2">
        <v>113.0027534</v>
      </c>
      <c r="N16" s="2">
        <v>272.0159709</v>
      </c>
      <c r="O16" s="2">
        <v>400.5614246</v>
      </c>
    </row>
    <row r="17" ht="15.75" customHeight="1">
      <c r="A17" s="1" t="s">
        <v>30</v>
      </c>
      <c r="B17" s="1">
        <v>5.7</v>
      </c>
      <c r="C17" s="1">
        <v>0.65</v>
      </c>
      <c r="D17" s="1">
        <v>30.67</v>
      </c>
      <c r="E17" s="1">
        <v>4.79</v>
      </c>
      <c r="F17" s="1">
        <v>1.01</v>
      </c>
      <c r="G17" s="1">
        <v>85.68</v>
      </c>
      <c r="H17" s="1">
        <v>0.0</v>
      </c>
      <c r="I17" s="1">
        <v>0.7</v>
      </c>
      <c r="J17" s="1">
        <v>2998.251289</v>
      </c>
      <c r="K17" s="1">
        <v>2024.18</v>
      </c>
      <c r="L17" s="2">
        <v>2320.737531</v>
      </c>
      <c r="M17" s="2">
        <v>1874.902387</v>
      </c>
      <c r="N17" s="2">
        <v>1994.792509</v>
      </c>
      <c r="O17" s="2">
        <v>2082.01091</v>
      </c>
    </row>
    <row r="18" ht="15.75" customHeight="1">
      <c r="A18" s="3" t="s">
        <v>31</v>
      </c>
      <c r="B18" s="3">
        <v>3.9</v>
      </c>
      <c r="C18" s="3">
        <v>0.7</v>
      </c>
      <c r="D18" s="3">
        <v>30.96</v>
      </c>
      <c r="E18" s="3">
        <v>41.49</v>
      </c>
      <c r="F18" s="3">
        <v>1.46</v>
      </c>
      <c r="G18" s="3">
        <v>86.91</v>
      </c>
      <c r="H18" s="4">
        <v>0.0</v>
      </c>
      <c r="I18" s="3">
        <v>2.7</v>
      </c>
      <c r="J18" s="1">
        <v>1.703349514</v>
      </c>
      <c r="K18" s="1">
        <v>892.1800000000001</v>
      </c>
      <c r="L18" s="2">
        <v>14.11236367</v>
      </c>
      <c r="M18" s="2">
        <v>8.633897741</v>
      </c>
      <c r="N18" s="2">
        <v>64.78286773</v>
      </c>
      <c r="O18" s="2">
        <v>203.2658693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0"/>
    <col customWidth="1" min="2" max="2" width="9.0"/>
    <col customWidth="1" min="3" max="3" width="19.0"/>
    <col customWidth="1" min="4" max="4" width="20.44"/>
    <col customWidth="1" min="5" max="5" width="15.78"/>
    <col customWidth="1" min="6" max="6" width="34.44"/>
    <col customWidth="1" min="7" max="26" width="10.56"/>
  </cols>
  <sheetData>
    <row r="1" ht="15.75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ht="15.75" customHeight="1">
      <c r="A2" s="1" t="s">
        <v>38</v>
      </c>
      <c r="B2" s="1" t="s">
        <v>39</v>
      </c>
      <c r="C2" s="1">
        <v>24.51</v>
      </c>
      <c r="D2" s="1">
        <v>395.0</v>
      </c>
      <c r="E2" s="1">
        <v>67.74</v>
      </c>
      <c r="F2" s="1" t="s">
        <v>40</v>
      </c>
    </row>
    <row r="3" ht="15.75" customHeight="1">
      <c r="A3" s="1" t="s">
        <v>41</v>
      </c>
      <c r="B3" s="1" t="s">
        <v>39</v>
      </c>
      <c r="C3" s="1">
        <v>20.9</v>
      </c>
      <c r="D3" s="1">
        <v>307.0</v>
      </c>
      <c r="E3" s="1">
        <v>38.91</v>
      </c>
      <c r="F3" s="1" t="s">
        <v>42</v>
      </c>
    </row>
    <row r="4" ht="15.75" customHeight="1">
      <c r="A4" s="1" t="s">
        <v>43</v>
      </c>
      <c r="B4" s="1" t="s">
        <v>39</v>
      </c>
      <c r="C4" s="1">
        <v>1.15</v>
      </c>
      <c r="D4" s="1">
        <v>17.0</v>
      </c>
      <c r="E4" s="1">
        <v>36.81</v>
      </c>
      <c r="F4" s="1" t="s">
        <v>44</v>
      </c>
    </row>
    <row r="5" ht="15.75" customHeight="1">
      <c r="A5" s="1" t="s">
        <v>45</v>
      </c>
      <c r="B5" s="1" t="s">
        <v>39</v>
      </c>
      <c r="C5" s="1">
        <v>0.31</v>
      </c>
      <c r="D5" s="1">
        <v>7.13</v>
      </c>
      <c r="E5" s="1">
        <v>9.89</v>
      </c>
      <c r="F5" s="1" t="s">
        <v>46</v>
      </c>
    </row>
    <row r="6" ht="15.75" customHeight="1">
      <c r="A6" s="1" t="s">
        <v>47</v>
      </c>
      <c r="B6" s="1" t="s">
        <v>39</v>
      </c>
      <c r="C6" s="1">
        <f>9.49/1000</f>
        <v>0.00949</v>
      </c>
      <c r="D6" s="1">
        <v>0.12</v>
      </c>
      <c r="E6" s="1">
        <v>0.11</v>
      </c>
      <c r="F6" s="1" t="s">
        <v>48</v>
      </c>
    </row>
    <row r="7" ht="15.75" customHeight="1">
      <c r="A7" s="1" t="s">
        <v>49</v>
      </c>
      <c r="B7" s="1" t="s">
        <v>50</v>
      </c>
      <c r="C7" s="1">
        <v>3.5</v>
      </c>
      <c r="D7" s="1">
        <v>55.0</v>
      </c>
      <c r="E7" s="1">
        <v>15.35</v>
      </c>
      <c r="F7" s="1" t="s">
        <v>51</v>
      </c>
    </row>
    <row r="8" ht="15.75" customHeight="1">
      <c r="A8" s="1" t="s">
        <v>52</v>
      </c>
      <c r="B8" s="1" t="s">
        <v>53</v>
      </c>
      <c r="C8" s="1">
        <v>3.21</v>
      </c>
      <c r="D8" s="1">
        <v>42.0</v>
      </c>
      <c r="E8" s="1">
        <v>3.0</v>
      </c>
      <c r="F8" s="1" t="s">
        <v>54</v>
      </c>
    </row>
    <row r="9" ht="15.75" customHeight="1">
      <c r="A9" s="1" t="s">
        <v>55</v>
      </c>
      <c r="B9" s="1" t="s">
        <v>56</v>
      </c>
      <c r="C9" s="1">
        <v>273.0</v>
      </c>
      <c r="D9" s="1">
        <v>0.0</v>
      </c>
      <c r="E9" s="1">
        <v>0.0</v>
      </c>
      <c r="F9" s="1" t="s">
        <v>57</v>
      </c>
    </row>
    <row r="10" ht="15.75" customHeight="1">
      <c r="A10" s="1" t="s">
        <v>58</v>
      </c>
      <c r="B10" s="1" t="s">
        <v>59</v>
      </c>
      <c r="C10" s="1">
        <v>0.0</v>
      </c>
      <c r="D10" s="1">
        <v>0.0</v>
      </c>
      <c r="E10" s="1">
        <v>1000.0</v>
      </c>
      <c r="F10" s="1" t="s">
        <v>60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7.11"/>
    <col customWidth="1" min="3" max="3" width="26.0"/>
    <col customWidth="1" min="4" max="4" width="28.67"/>
    <col customWidth="1" min="5" max="26" width="10.56"/>
  </cols>
  <sheetData>
    <row r="1" ht="15.75" customHeight="1">
      <c r="A1" s="1" t="s">
        <v>0</v>
      </c>
      <c r="B1" s="1" t="s">
        <v>61</v>
      </c>
      <c r="C1" s="1" t="s">
        <v>62</v>
      </c>
      <c r="D1" s="1" t="s">
        <v>63</v>
      </c>
    </row>
    <row r="2" ht="15.75" customHeight="1">
      <c r="A2" s="1" t="s">
        <v>15</v>
      </c>
      <c r="B2" s="1">
        <v>0.43</v>
      </c>
      <c r="C2" s="5">
        <v>7.388663323</v>
      </c>
      <c r="D2" s="5">
        <v>2.445365459</v>
      </c>
    </row>
    <row r="3" ht="15.75" customHeight="1">
      <c r="A3" s="1" t="s">
        <v>16</v>
      </c>
      <c r="B3" s="1">
        <v>0.48</v>
      </c>
      <c r="C3" s="5">
        <v>7.425928072</v>
      </c>
      <c r="D3" s="5">
        <v>2.45037648</v>
      </c>
    </row>
    <row r="4" ht="15.75" customHeight="1">
      <c r="A4" s="1" t="s">
        <v>17</v>
      </c>
      <c r="B4" s="1">
        <v>0.6</v>
      </c>
      <c r="C4" s="5">
        <v>8.376445013</v>
      </c>
      <c r="D4" s="5">
        <v>2.242961528</v>
      </c>
    </row>
    <row r="5" ht="15.75" customHeight="1">
      <c r="A5" s="1" t="s">
        <v>18</v>
      </c>
      <c r="B5" s="1">
        <v>0.25</v>
      </c>
      <c r="C5" s="5">
        <v>6.335180947</v>
      </c>
      <c r="D5" s="5">
        <v>4.479956324</v>
      </c>
    </row>
    <row r="6" ht="15.75" customHeight="1">
      <c r="A6" s="1" t="s">
        <v>19</v>
      </c>
      <c r="B6" s="1">
        <v>0.53</v>
      </c>
      <c r="C6" s="5">
        <v>8.565047395</v>
      </c>
      <c r="D6" s="5">
        <v>1.074902805</v>
      </c>
    </row>
    <row r="7" ht="15.75" customHeight="1">
      <c r="A7" s="1" t="s">
        <v>20</v>
      </c>
      <c r="B7" s="1">
        <v>0.49</v>
      </c>
      <c r="C7" s="5">
        <v>7.841309039</v>
      </c>
      <c r="D7" s="5">
        <v>1.608886529</v>
      </c>
    </row>
    <row r="8" ht="15.75" customHeight="1">
      <c r="A8" s="1" t="s">
        <v>21</v>
      </c>
      <c r="B8" s="1">
        <v>0.47</v>
      </c>
      <c r="C8" s="5">
        <v>7.156586003</v>
      </c>
      <c r="D8" s="5">
        <v>1.092932149</v>
      </c>
    </row>
    <row r="9" ht="15.75" customHeight="1">
      <c r="A9" s="1" t="s">
        <v>22</v>
      </c>
      <c r="B9" s="1">
        <v>0.58</v>
      </c>
      <c r="C9" s="5">
        <v>9.208425837</v>
      </c>
      <c r="D9" s="5">
        <v>1.31526393</v>
      </c>
    </row>
    <row r="10" ht="15.75" customHeight="1">
      <c r="A10" s="1" t="s">
        <v>23</v>
      </c>
      <c r="B10" s="1">
        <v>0.5</v>
      </c>
      <c r="C10" s="5">
        <v>8.388149248</v>
      </c>
      <c r="D10" s="5">
        <v>0.9828834067</v>
      </c>
    </row>
    <row r="11" ht="15.75" customHeight="1">
      <c r="A11" s="1" t="s">
        <v>24</v>
      </c>
      <c r="B11" s="1">
        <v>0.9</v>
      </c>
      <c r="C11" s="5">
        <v>9.867808988</v>
      </c>
      <c r="D11" s="5">
        <v>1.91054226</v>
      </c>
    </row>
    <row r="12" ht="15.75" customHeight="1">
      <c r="A12" s="1" t="s">
        <v>25</v>
      </c>
      <c r="B12" s="1">
        <v>0.79</v>
      </c>
      <c r="C12" s="5">
        <v>9.620500972</v>
      </c>
      <c r="D12" s="5">
        <v>1.317885676</v>
      </c>
    </row>
    <row r="13" ht="15.75" customHeight="1">
      <c r="A13" s="1" t="s">
        <v>26</v>
      </c>
      <c r="B13" s="1">
        <v>0.44</v>
      </c>
      <c r="C13" s="5">
        <v>7.273020712</v>
      </c>
      <c r="D13" s="5">
        <v>1.846238458</v>
      </c>
    </row>
    <row r="14" ht="15.75" customHeight="1">
      <c r="A14" s="1" t="s">
        <v>27</v>
      </c>
      <c r="B14" s="1">
        <v>0.49</v>
      </c>
      <c r="C14" s="5">
        <v>7.699190842</v>
      </c>
      <c r="D14" s="5">
        <v>1.237218566</v>
      </c>
    </row>
    <row r="15" ht="15.75" customHeight="1">
      <c r="A15" s="1" t="s">
        <v>28</v>
      </c>
      <c r="B15" s="1">
        <v>0.32</v>
      </c>
      <c r="C15" s="5">
        <v>6.52002177</v>
      </c>
      <c r="D15" s="5">
        <v>1.903658563</v>
      </c>
    </row>
    <row r="16" ht="15.75" customHeight="1">
      <c r="A16" s="1" t="s">
        <v>29</v>
      </c>
      <c r="B16" s="1">
        <v>0.46</v>
      </c>
      <c r="C16" s="5">
        <v>7.23842884</v>
      </c>
      <c r="D16" s="5">
        <v>3.398143993</v>
      </c>
    </row>
    <row r="17" ht="15.75" customHeight="1">
      <c r="A17" s="1" t="s">
        <v>30</v>
      </c>
      <c r="B17" s="1">
        <v>0.59</v>
      </c>
      <c r="C17" s="5">
        <v>8.495346436</v>
      </c>
      <c r="D17" s="5">
        <v>1.051707459</v>
      </c>
    </row>
    <row r="18" ht="15.75" customHeight="1">
      <c r="A18" s="1" t="s">
        <v>31</v>
      </c>
      <c r="B18" s="1">
        <v>0.39</v>
      </c>
      <c r="C18" s="5">
        <v>7.416516941</v>
      </c>
      <c r="D18" s="5">
        <v>1.439971201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78"/>
    <col customWidth="1" min="2" max="2" width="22.11"/>
    <col customWidth="1" min="3" max="26" width="10.56"/>
  </cols>
  <sheetData>
    <row r="1" ht="15.75" customHeight="1">
      <c r="A1" s="1" t="s">
        <v>64</v>
      </c>
      <c r="B1" s="1" t="s">
        <v>65</v>
      </c>
      <c r="C1" s="1" t="s">
        <v>66</v>
      </c>
    </row>
    <row r="2" ht="15.75" customHeight="1">
      <c r="A2" s="1" t="s">
        <v>67</v>
      </c>
      <c r="B2" s="1" t="s">
        <v>68</v>
      </c>
      <c r="C2" s="1" t="s">
        <v>69</v>
      </c>
    </row>
    <row r="3" ht="15.75" customHeight="1">
      <c r="A3" s="1" t="s">
        <v>70</v>
      </c>
      <c r="B3" s="1" t="s">
        <v>71</v>
      </c>
      <c r="C3" s="1" t="s">
        <v>69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9.78"/>
    <col customWidth="1" min="3" max="26" width="10.56"/>
  </cols>
  <sheetData>
    <row r="1" ht="15.75" customHeight="1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</row>
    <row r="2" ht="15.75" customHeight="1">
      <c r="A2" s="1" t="s">
        <v>15</v>
      </c>
      <c r="B2" s="1">
        <f t="array" ref="B2:J2">Input_Data!$B2:$J2*TRANSPOSE(Impact_Factors!$C$2:$C$10)</f>
        <v>77.6967</v>
      </c>
      <c r="C2" s="1">
        <v>5.852</v>
      </c>
      <c r="D2" s="1">
        <v>45.816</v>
      </c>
      <c r="E2" s="1">
        <v>23.8793</v>
      </c>
      <c r="F2" s="1">
        <v>0.015089100000000001</v>
      </c>
      <c r="G2" s="1">
        <v>332.605</v>
      </c>
      <c r="H2" s="1">
        <v>108.177</v>
      </c>
      <c r="I2" s="1">
        <v>819.0</v>
      </c>
      <c r="J2" s="1">
        <v>0.0</v>
      </c>
      <c r="K2" s="1">
        <f>Input_Data!K2*State_Electricity_Factors!B2</f>
        <v>178.063</v>
      </c>
    </row>
    <row r="3" ht="15.75" customHeight="1">
      <c r="A3" s="1" t="s">
        <v>16</v>
      </c>
      <c r="B3" s="1">
        <f t="array" ref="B3:J3">Input_Data!$B3:$J3*TRANSPOSE(Impact_Factors!$C$2:$C$10)</f>
        <v>35.2944</v>
      </c>
      <c r="C3" s="1">
        <v>3.7619999999999996</v>
      </c>
      <c r="D3" s="1">
        <v>11.545999999999998</v>
      </c>
      <c r="E3" s="1">
        <v>0.3441</v>
      </c>
      <c r="F3" s="1">
        <v>0.0034164</v>
      </c>
      <c r="G3" s="1">
        <v>356.09</v>
      </c>
      <c r="H3" s="1">
        <v>306.876</v>
      </c>
      <c r="I3" s="1">
        <v>245.70000000000002</v>
      </c>
      <c r="J3" s="1">
        <v>0.0</v>
      </c>
      <c r="K3" s="1">
        <f>Input_Data!K3*State_Electricity_Factors!B3</f>
        <v>528.528</v>
      </c>
    </row>
    <row r="4" ht="15.75" customHeight="1">
      <c r="A4" s="1" t="s">
        <v>17</v>
      </c>
      <c r="B4" s="1">
        <f t="array" ref="B4:J4">Input_Data!$B4:$J4*TRANSPOSE(Impact_Factors!$C$2:$C$10)</f>
        <v>61.7652</v>
      </c>
      <c r="C4" s="1">
        <v>25.08</v>
      </c>
      <c r="D4" s="1">
        <v>36.777</v>
      </c>
      <c r="E4" s="1">
        <v>18.804599999999997</v>
      </c>
      <c r="F4" s="1">
        <v>0.020498400000000003</v>
      </c>
      <c r="G4" s="1">
        <v>358.08500000000004</v>
      </c>
      <c r="H4" s="1">
        <v>227.91</v>
      </c>
      <c r="I4" s="1">
        <v>873.6</v>
      </c>
      <c r="J4" s="1">
        <v>0.0</v>
      </c>
      <c r="K4" s="1">
        <f>Input_Data!K4*State_Electricity_Factors!B4</f>
        <v>294.24</v>
      </c>
    </row>
    <row r="5" ht="15.75" customHeight="1">
      <c r="A5" s="1" t="s">
        <v>18</v>
      </c>
      <c r="B5" s="1">
        <f t="array" ref="B5:J5">Input_Data!$B5:$J5*TRANSPOSE(Impact_Factors!$C$2:$C$10)</f>
        <v>31.1277</v>
      </c>
      <c r="C5" s="1">
        <v>9.822999999999999</v>
      </c>
      <c r="D5" s="1">
        <v>4.8069999999999995</v>
      </c>
      <c r="E5" s="1">
        <v>2.6257</v>
      </c>
      <c r="F5" s="1">
        <v>0.0122421</v>
      </c>
      <c r="G5" s="1">
        <v>230.16000000000003</v>
      </c>
      <c r="H5" s="1">
        <v>304.629</v>
      </c>
      <c r="I5" s="1">
        <v>163.79999999999998</v>
      </c>
      <c r="J5" s="1">
        <v>0.0</v>
      </c>
      <c r="K5" s="1">
        <f>Input_Data!K5*State_Electricity_Factors!B5</f>
        <v>143.575</v>
      </c>
    </row>
    <row r="6" ht="15.75" customHeight="1">
      <c r="A6" s="1" t="s">
        <v>19</v>
      </c>
      <c r="B6" s="1">
        <f t="array" ref="B6:J6">Input_Data!$B6:$J6*TRANSPOSE(Impact_Factors!$C$2:$C$10)</f>
        <v>95.589</v>
      </c>
      <c r="C6" s="1">
        <v>14.629999999999997</v>
      </c>
      <c r="D6" s="1">
        <v>35.604</v>
      </c>
      <c r="E6" s="1">
        <v>12.8619</v>
      </c>
      <c r="F6" s="1">
        <v>0.0138554</v>
      </c>
      <c r="G6" s="1">
        <v>304.185</v>
      </c>
      <c r="H6" s="1">
        <v>353.742</v>
      </c>
      <c r="I6" s="1">
        <v>737.1</v>
      </c>
      <c r="J6" s="1">
        <v>0.0</v>
      </c>
      <c r="K6" s="1">
        <f>Input_Data!K6*State_Electricity_Factors!B6</f>
        <v>245.443</v>
      </c>
    </row>
    <row r="7" ht="15.75" customHeight="1">
      <c r="A7" s="1" t="s">
        <v>20</v>
      </c>
      <c r="B7" s="1">
        <f t="array" ref="B7:J7">Input_Data!$B7:$J7*TRANSPOSE(Impact_Factors!$C$2:$C$10)</f>
        <v>68.1378</v>
      </c>
      <c r="C7" s="1">
        <v>6.27</v>
      </c>
      <c r="D7" s="1">
        <v>51.221</v>
      </c>
      <c r="E7" s="1">
        <v>24.2575</v>
      </c>
      <c r="F7" s="1">
        <v>0.015278900000000002</v>
      </c>
      <c r="G7" s="1">
        <v>306.495</v>
      </c>
      <c r="H7" s="1">
        <v>181.04399999999998</v>
      </c>
      <c r="I7" s="1">
        <v>764.4</v>
      </c>
      <c r="J7" s="1">
        <v>0.0</v>
      </c>
      <c r="K7" s="1">
        <f>Input_Data!K7*State_Electricity_Factors!B7</f>
        <v>363.188</v>
      </c>
    </row>
    <row r="8" ht="15.75" customHeight="1">
      <c r="A8" s="1" t="s">
        <v>21</v>
      </c>
      <c r="B8" s="1">
        <f t="array" ref="B8:J8">Input_Data!$B8:$J8*TRANSPOSE(Impact_Factors!$C$2:$C$10)</f>
        <v>95.589</v>
      </c>
      <c r="C8" s="1">
        <v>14.629999999999997</v>
      </c>
      <c r="D8" s="1">
        <v>35.604</v>
      </c>
      <c r="E8" s="1">
        <v>12.8619</v>
      </c>
      <c r="F8" s="1">
        <v>0.0138554</v>
      </c>
      <c r="G8" s="1">
        <v>304.185</v>
      </c>
      <c r="H8" s="1">
        <v>325.173</v>
      </c>
      <c r="I8" s="1">
        <v>218.4</v>
      </c>
      <c r="J8" s="1">
        <v>0.0</v>
      </c>
      <c r="K8" s="1">
        <f>Input_Data!K8*State_Electricity_Factors!B8</f>
        <v>551.216</v>
      </c>
    </row>
    <row r="9" ht="15.75" customHeight="1">
      <c r="A9" s="1" t="s">
        <v>22</v>
      </c>
      <c r="B9" s="1">
        <f t="array" ref="B9:J9">Input_Data!$B9:$J9*TRANSPOSE(Impact_Factors!$C$2:$C$10)</f>
        <v>93.6282</v>
      </c>
      <c r="C9" s="1">
        <v>30.513999999999996</v>
      </c>
      <c r="D9" s="1">
        <v>39.28399999999999</v>
      </c>
      <c r="E9" s="1">
        <v>17.2546</v>
      </c>
      <c r="F9" s="1">
        <v>0.0165126</v>
      </c>
      <c r="G9" s="1">
        <v>246.32999999999998</v>
      </c>
      <c r="H9" s="1">
        <v>264.504</v>
      </c>
      <c r="I9" s="1">
        <v>600.6</v>
      </c>
      <c r="J9" s="1">
        <v>0.0</v>
      </c>
      <c r="K9" s="1">
        <f>Input_Data!K9*State_Electricity_Factors!B9</f>
        <v>303.63</v>
      </c>
    </row>
    <row r="10" ht="15.75" customHeight="1">
      <c r="A10" s="1" t="s">
        <v>23</v>
      </c>
      <c r="B10" s="1">
        <f t="array" ref="B10:J10">Input_Data!$B10:$J10*TRANSPOSE(Impact_Factors!$C$2:$C$10)</f>
        <v>80.6379</v>
      </c>
      <c r="C10" s="1">
        <v>29.259999999999994</v>
      </c>
      <c r="D10" s="1">
        <v>22.977</v>
      </c>
      <c r="E10" s="1">
        <v>17.732</v>
      </c>
      <c r="F10" s="1">
        <v>0.0144248</v>
      </c>
      <c r="G10" s="1">
        <v>306.03999999999996</v>
      </c>
      <c r="H10" s="1">
        <v>248.775</v>
      </c>
      <c r="I10" s="1">
        <v>764.4</v>
      </c>
      <c r="J10" s="1">
        <v>0.0</v>
      </c>
      <c r="K10" s="1">
        <f>Input_Data!K10*State_Electricity_Factors!B10</f>
        <v>232.85</v>
      </c>
    </row>
    <row r="11" ht="15.75" customHeight="1">
      <c r="A11" s="1" t="s">
        <v>24</v>
      </c>
      <c r="B11" s="1">
        <f t="array" ref="B11:J11">Input_Data!$B11:$J11*TRANSPOSE(Impact_Factors!$C$2:$C$10)</f>
        <v>51.7161</v>
      </c>
      <c r="C11" s="1">
        <v>19.019</v>
      </c>
      <c r="D11" s="1">
        <v>34.04</v>
      </c>
      <c r="E11" s="1">
        <v>15.1559</v>
      </c>
      <c r="F11" s="1">
        <v>0.0214474</v>
      </c>
      <c r="G11" s="1">
        <v>272.72</v>
      </c>
      <c r="H11" s="1">
        <v>301.098</v>
      </c>
      <c r="I11" s="1">
        <v>682.5</v>
      </c>
      <c r="J11" s="1">
        <v>0.0</v>
      </c>
      <c r="K11" s="1">
        <f>Input_Data!K11*State_Electricity_Factors!B11</f>
        <v>671.58</v>
      </c>
    </row>
    <row r="12" ht="15.75" customHeight="1">
      <c r="A12" s="1" t="s">
        <v>25</v>
      </c>
      <c r="B12" s="1">
        <f t="array" ref="B12:J12">Input_Data!$B12:$J12*TRANSPOSE(Impact_Factors!$C$2:$C$10)</f>
        <v>95.589</v>
      </c>
      <c r="C12" s="1">
        <v>14.629999999999997</v>
      </c>
      <c r="D12" s="1">
        <v>35.604</v>
      </c>
      <c r="E12" s="1">
        <v>12.8619</v>
      </c>
      <c r="F12" s="1">
        <v>0.0138554</v>
      </c>
      <c r="G12" s="1">
        <v>304.185</v>
      </c>
      <c r="H12" s="1">
        <v>641.679</v>
      </c>
      <c r="I12" s="1">
        <v>218.4</v>
      </c>
      <c r="J12" s="1">
        <v>0.0</v>
      </c>
      <c r="K12" s="1">
        <f>Input_Data!K12*State_Electricity_Factors!B12</f>
        <v>1644.859</v>
      </c>
    </row>
    <row r="13" ht="15.75" customHeight="1">
      <c r="A13" s="1" t="s">
        <v>26</v>
      </c>
      <c r="B13" s="1">
        <f t="array" ref="B13:J13">Input_Data!$B13:$J13*TRANSPOSE(Impact_Factors!$C$2:$C$10)</f>
        <v>80.883</v>
      </c>
      <c r="C13" s="1">
        <v>11.912999999999998</v>
      </c>
      <c r="D13" s="1">
        <v>25.208</v>
      </c>
      <c r="E13" s="1">
        <v>22.3262</v>
      </c>
      <c r="F13" s="1">
        <v>0.0140452</v>
      </c>
      <c r="G13" s="1">
        <v>261.27500000000003</v>
      </c>
      <c r="H13" s="1">
        <v>242.355</v>
      </c>
      <c r="I13" s="1">
        <v>655.1999999999999</v>
      </c>
      <c r="J13" s="1">
        <v>0.0</v>
      </c>
      <c r="K13" s="1">
        <f>Input_Data!K13*State_Electricity_Factors!B13</f>
        <v>437.756</v>
      </c>
    </row>
    <row r="14" ht="15.75" customHeight="1">
      <c r="A14" s="1" t="s">
        <v>27</v>
      </c>
      <c r="B14" s="1">
        <f t="array" ref="B14:J14">Input_Data!$B14:$J14*TRANSPOSE(Impact_Factors!$C$2:$C$10)</f>
        <v>159.315</v>
      </c>
      <c r="C14" s="1">
        <v>13.376</v>
      </c>
      <c r="D14" s="1">
        <v>44.2635</v>
      </c>
      <c r="E14" s="1">
        <v>2.9015999999999997</v>
      </c>
      <c r="F14" s="1">
        <v>0.018885100000000002</v>
      </c>
      <c r="G14" s="1">
        <v>432.39000000000004</v>
      </c>
      <c r="H14" s="1">
        <v>366.90299999999996</v>
      </c>
      <c r="I14" s="1">
        <v>300.3</v>
      </c>
      <c r="J14" s="1">
        <v>0.0</v>
      </c>
      <c r="K14" s="1">
        <f>Input_Data!K14*State_Electricity_Factors!B14</f>
        <v>595.154</v>
      </c>
    </row>
    <row r="15" ht="15.75" customHeight="1">
      <c r="A15" s="1" t="s">
        <v>28</v>
      </c>
      <c r="B15" s="1">
        <f t="array" ref="B15:J15">Input_Data!$B15:$J15*TRANSPOSE(Impact_Factors!$C$2:$C$10)</f>
        <v>97.5498</v>
      </c>
      <c r="C15" s="1">
        <v>6.27</v>
      </c>
      <c r="D15" s="1">
        <v>33.7065</v>
      </c>
      <c r="E15" s="1">
        <v>33.0336</v>
      </c>
      <c r="F15" s="1">
        <v>0.0234403</v>
      </c>
      <c r="G15" s="1">
        <v>341.565</v>
      </c>
      <c r="H15" s="1">
        <v>209.292</v>
      </c>
      <c r="I15" s="1">
        <v>846.3000000000001</v>
      </c>
      <c r="J15" s="1">
        <v>0.0</v>
      </c>
      <c r="K15" s="1">
        <f>Input_Data!K15*State_Electricity_Factors!B15</f>
        <v>233.536</v>
      </c>
    </row>
    <row r="16" ht="15.75" customHeight="1">
      <c r="A16" s="1" t="s">
        <v>29</v>
      </c>
      <c r="B16" s="1">
        <f t="array" ref="B16:J16">Input_Data!$B16:$J16*TRANSPOSE(Impact_Factors!$C$2:$C$10)</f>
        <v>74.7555</v>
      </c>
      <c r="C16" s="1">
        <v>14.420999999999998</v>
      </c>
      <c r="D16" s="1">
        <v>43.527499999999996</v>
      </c>
      <c r="E16" s="1">
        <v>21.253600000000002</v>
      </c>
      <c r="F16" s="1">
        <v>0.013286</v>
      </c>
      <c r="G16" s="1">
        <v>254.31</v>
      </c>
      <c r="H16" s="1">
        <v>83.781</v>
      </c>
      <c r="I16" s="1">
        <v>627.9</v>
      </c>
      <c r="J16" s="1">
        <v>0.0</v>
      </c>
      <c r="K16" s="1">
        <f>Input_Data!K16*State_Electricity_Factors!B16</f>
        <v>194.902</v>
      </c>
    </row>
    <row r="17" ht="15.75" customHeight="1">
      <c r="A17" s="1" t="s">
        <v>30</v>
      </c>
      <c r="B17" s="1">
        <f t="array" ref="B17:J17">Input_Data!$B17:$J17*TRANSPOSE(Impact_Factors!$C$2:$C$10)</f>
        <v>139.707</v>
      </c>
      <c r="C17" s="1">
        <v>13.584999999999999</v>
      </c>
      <c r="D17" s="1">
        <v>35.2705</v>
      </c>
      <c r="E17" s="1">
        <v>1.4849</v>
      </c>
      <c r="F17" s="1">
        <v>0.0095849</v>
      </c>
      <c r="G17" s="1">
        <v>299.88</v>
      </c>
      <c r="H17" s="1">
        <v>607.332</v>
      </c>
      <c r="I17" s="1">
        <v>191.1</v>
      </c>
      <c r="J17" s="1">
        <v>0.0</v>
      </c>
      <c r="K17" s="1">
        <f>Input_Data!K17*State_Electricity_Factors!B17</f>
        <v>703.103</v>
      </c>
    </row>
    <row r="18" ht="15.75" customHeight="1">
      <c r="A18" s="1" t="s">
        <v>31</v>
      </c>
      <c r="B18" s="1">
        <f t="array" ref="B18:J18">Input_Data!$B18:$J18*TRANSPOSE(Impact_Factors!$C$2:$C$10)</f>
        <v>95.589</v>
      </c>
      <c r="C18" s="1">
        <v>14.629999999999997</v>
      </c>
      <c r="D18" s="1">
        <v>35.604</v>
      </c>
      <c r="E18" s="1">
        <v>12.8619</v>
      </c>
      <c r="F18" s="1">
        <v>0.0138554</v>
      </c>
      <c r="G18" s="1">
        <v>304.185</v>
      </c>
      <c r="H18" s="1">
        <v>156.327</v>
      </c>
      <c r="I18" s="1">
        <v>737.1</v>
      </c>
      <c r="J18" s="1">
        <v>0.0</v>
      </c>
      <c r="K18" s="1">
        <f>Input_Data!K18*State_Electricity_Factors!B18</f>
        <v>264.381</v>
      </c>
    </row>
    <row r="19" ht="15.75" customHeight="1">
      <c r="A19" s="1" t="s">
        <v>82</v>
      </c>
      <c r="B19" s="1" t="s">
        <v>82</v>
      </c>
    </row>
    <row r="20" ht="15.75" customHeight="1">
      <c r="A20" s="1" t="s">
        <v>83</v>
      </c>
    </row>
    <row r="21" ht="15.75" customHeight="1">
      <c r="A21" s="1" t="s">
        <v>0</v>
      </c>
      <c r="B21" s="1" t="s">
        <v>72</v>
      </c>
      <c r="C21" s="1" t="s">
        <v>73</v>
      </c>
      <c r="D21" s="1" t="s">
        <v>74</v>
      </c>
      <c r="E21" s="1" t="s">
        <v>75</v>
      </c>
      <c r="F21" s="1" t="s">
        <v>76</v>
      </c>
      <c r="G21" s="1" t="s">
        <v>77</v>
      </c>
      <c r="H21" s="1" t="s">
        <v>78</v>
      </c>
      <c r="I21" s="1" t="s">
        <v>79</v>
      </c>
      <c r="J21" s="1" t="s">
        <v>80</v>
      </c>
      <c r="K21" s="1" t="s">
        <v>81</v>
      </c>
    </row>
    <row r="22" ht="15.75" customHeight="1">
      <c r="A22" s="1" t="s">
        <v>15</v>
      </c>
      <c r="B22" s="1">
        <f t="array" ref="B22:J22">Input_Data_Electrified!$B2:$J2*TRANSPOSE(Impact_Factors!$C$2:$C$10)</f>
        <v>77.6967</v>
      </c>
      <c r="C22" s="1">
        <v>5.852</v>
      </c>
      <c r="D22" s="1">
        <v>45.816</v>
      </c>
      <c r="E22" s="1">
        <v>23.8793</v>
      </c>
      <c r="F22" s="1">
        <v>0.015089100000000001</v>
      </c>
      <c r="G22" s="1">
        <v>332.605</v>
      </c>
      <c r="H22" s="1">
        <v>0.0</v>
      </c>
      <c r="I22" s="1">
        <v>819.0</v>
      </c>
      <c r="J22" s="1">
        <v>0.0</v>
      </c>
      <c r="K22" s="1">
        <f>Input_Data_Electrified!K2*State_Electricity_Factors!B2</f>
        <v>241.8234</v>
      </c>
    </row>
    <row r="23" ht="15.75" customHeight="1">
      <c r="A23" s="1" t="s">
        <v>16</v>
      </c>
      <c r="B23" s="1">
        <f t="array" ref="B23:J23">Input_Data_Electrified!$B3:$J3*TRANSPOSE(Impact_Factors!$C$2:$C$10)</f>
        <v>35.2944</v>
      </c>
      <c r="C23" s="1">
        <v>3.7619999999999996</v>
      </c>
      <c r="D23" s="1">
        <v>11.545999999999998</v>
      </c>
      <c r="E23" s="1">
        <v>0.3441</v>
      </c>
      <c r="F23" s="1">
        <v>0.0034164</v>
      </c>
      <c r="G23" s="1">
        <v>356.09</v>
      </c>
      <c r="H23" s="1">
        <v>0.0</v>
      </c>
      <c r="I23" s="1">
        <v>245.70000000000002</v>
      </c>
      <c r="J23" s="1">
        <v>0.0</v>
      </c>
      <c r="K23" s="1">
        <f>Input_Data_Electrified!K3*State_Electricity_Factors!B3</f>
        <v>730.4352</v>
      </c>
    </row>
    <row r="24" ht="15.75" customHeight="1">
      <c r="A24" s="1" t="s">
        <v>17</v>
      </c>
      <c r="B24" s="1">
        <f t="array" ref="B24:J24">Input_Data_Electrified!$B4:$J4*TRANSPOSE(Impact_Factors!$C$2:$C$10)</f>
        <v>61.7652</v>
      </c>
      <c r="C24" s="1">
        <v>25.08</v>
      </c>
      <c r="D24" s="1">
        <v>36.777</v>
      </c>
      <c r="E24" s="1">
        <v>18.804599999999997</v>
      </c>
      <c r="F24" s="1">
        <v>0.020498400000000003</v>
      </c>
      <c r="G24" s="1">
        <v>358.08500000000004</v>
      </c>
      <c r="H24" s="1">
        <v>0.0</v>
      </c>
      <c r="I24" s="1">
        <v>873.6</v>
      </c>
      <c r="J24" s="1">
        <v>0.0</v>
      </c>
      <c r="K24" s="1">
        <f>Input_Data_Electrified!K4*State_Electricity_Factors!B4</f>
        <v>481.68</v>
      </c>
    </row>
    <row r="25" ht="15.75" customHeight="1">
      <c r="A25" s="1" t="s">
        <v>18</v>
      </c>
      <c r="B25" s="1">
        <f t="array" ref="B25:J25">Input_Data_Electrified!$B5:$J5*TRANSPOSE(Impact_Factors!$C$2:$C$10)</f>
        <v>31.1277</v>
      </c>
      <c r="C25" s="1">
        <v>9.822999999999999</v>
      </c>
      <c r="D25" s="1">
        <v>4.8069999999999995</v>
      </c>
      <c r="E25" s="1">
        <v>2.6257</v>
      </c>
      <c r="F25" s="1">
        <v>0.0122421</v>
      </c>
      <c r="G25" s="1">
        <v>230.16000000000003</v>
      </c>
      <c r="H25" s="1">
        <v>0.0</v>
      </c>
      <c r="I25" s="1">
        <v>163.79999999999998</v>
      </c>
      <c r="J25" s="1">
        <v>0.0</v>
      </c>
      <c r="K25" s="1">
        <f>Input_Data_Electrified!K5*State_Electricity_Factors!B5</f>
        <v>247.965</v>
      </c>
    </row>
    <row r="26" ht="15.75" customHeight="1">
      <c r="A26" s="1" t="s">
        <v>19</v>
      </c>
      <c r="B26" s="1">
        <f t="array" ref="B26:J26">Input_Data_Electrified!$B6:$J6*TRANSPOSE(Impact_Factors!$C$2:$C$10)</f>
        <v>95.589</v>
      </c>
      <c r="C26" s="1">
        <v>14.629999999999997</v>
      </c>
      <c r="D26" s="1">
        <v>35.604</v>
      </c>
      <c r="E26" s="1">
        <v>12.8619</v>
      </c>
      <c r="F26" s="1">
        <v>0.0138554</v>
      </c>
      <c r="G26" s="1">
        <v>304.185</v>
      </c>
      <c r="H26" s="1">
        <v>0.0</v>
      </c>
      <c r="I26" s="1">
        <v>737.1</v>
      </c>
      <c r="J26" s="1">
        <v>0.0</v>
      </c>
      <c r="K26" s="1">
        <f>Input_Data_Electrified!K6*State_Electricity_Factors!B6</f>
        <v>502.4294</v>
      </c>
    </row>
    <row r="27" ht="15.75" customHeight="1">
      <c r="A27" s="1" t="s">
        <v>20</v>
      </c>
      <c r="B27" s="1">
        <f t="array" ref="B27:J27">Input_Data_Electrified!$B7:$J7*TRANSPOSE(Impact_Factors!$C$2:$C$10)</f>
        <v>68.1378</v>
      </c>
      <c r="C27" s="1">
        <v>6.27</v>
      </c>
      <c r="D27" s="1">
        <v>51.221</v>
      </c>
      <c r="E27" s="1">
        <v>24.2575</v>
      </c>
      <c r="F27" s="1">
        <v>0.015278900000000002</v>
      </c>
      <c r="G27" s="1">
        <v>306.495</v>
      </c>
      <c r="H27" s="1">
        <v>0.0</v>
      </c>
      <c r="I27" s="1">
        <v>764.4</v>
      </c>
      <c r="J27" s="1">
        <v>0.0</v>
      </c>
      <c r="K27" s="1">
        <f>Input_Data_Electrified!K7*State_Electricity_Factors!B7</f>
        <v>484.7864</v>
      </c>
    </row>
    <row r="28" ht="15.75" customHeight="1">
      <c r="A28" s="1" t="s">
        <v>21</v>
      </c>
      <c r="B28" s="1">
        <f t="array" ref="B28:J28">Input_Data_Electrified!$B8:$J8*TRANSPOSE(Impact_Factors!$C$2:$C$10)</f>
        <v>95.589</v>
      </c>
      <c r="C28" s="1">
        <v>14.629999999999997</v>
      </c>
      <c r="D28" s="1">
        <v>35.604</v>
      </c>
      <c r="E28" s="1">
        <v>12.8619</v>
      </c>
      <c r="F28" s="1">
        <v>0.0138554</v>
      </c>
      <c r="G28" s="1">
        <v>304.185</v>
      </c>
      <c r="H28" s="1">
        <v>0.0</v>
      </c>
      <c r="I28" s="1">
        <v>218.4</v>
      </c>
      <c r="J28" s="1">
        <v>0.0</v>
      </c>
      <c r="K28" s="1">
        <f>Input_Data_Electrified!K8*State_Electricity_Factors!B8</f>
        <v>760.7044</v>
      </c>
    </row>
    <row r="29" ht="15.75" customHeight="1">
      <c r="A29" s="1" t="s">
        <v>22</v>
      </c>
      <c r="B29" s="1">
        <f t="array" ref="B29:J29">Input_Data_Electrified!$B9:$J9*TRANSPOSE(Impact_Factors!$C$2:$C$10)</f>
        <v>93.6282</v>
      </c>
      <c r="C29" s="1">
        <v>30.513999999999996</v>
      </c>
      <c r="D29" s="1">
        <v>39.28399999999999</v>
      </c>
      <c r="E29" s="1">
        <v>17.2546</v>
      </c>
      <c r="F29" s="1">
        <v>0.0165126</v>
      </c>
      <c r="G29" s="1">
        <v>246.32999999999998</v>
      </c>
      <c r="H29" s="1">
        <v>0.0</v>
      </c>
      <c r="I29" s="1">
        <v>600.6</v>
      </c>
      <c r="J29" s="1">
        <v>0.0</v>
      </c>
      <c r="K29" s="1">
        <f>Input_Data_Electrified!K9*State_Electricity_Factors!B9</f>
        <v>513.9148</v>
      </c>
    </row>
    <row r="30" ht="15.75" customHeight="1">
      <c r="A30" s="1" t="s">
        <v>23</v>
      </c>
      <c r="B30" s="1">
        <f t="array" ref="B30:J30">Input_Data_Electrified!$B10:$J10*TRANSPOSE(Impact_Factors!$C$2:$C$10)</f>
        <v>80.6379</v>
      </c>
      <c r="C30" s="1">
        <v>29.259999999999994</v>
      </c>
      <c r="D30" s="1">
        <v>22.977</v>
      </c>
      <c r="E30" s="1">
        <v>17.732</v>
      </c>
      <c r="F30" s="1">
        <v>0.0144248</v>
      </c>
      <c r="G30" s="1">
        <v>306.03999999999996</v>
      </c>
      <c r="H30" s="1">
        <v>0.0</v>
      </c>
      <c r="I30" s="1">
        <v>764.4</v>
      </c>
      <c r="J30" s="1">
        <v>0.0</v>
      </c>
      <c r="K30" s="1">
        <f>Input_Data_Electrified!K10*State_Electricity_Factors!B10</f>
        <v>403.35</v>
      </c>
    </row>
    <row r="31" ht="15.75" customHeight="1">
      <c r="A31" s="1" t="s">
        <v>24</v>
      </c>
      <c r="B31" s="1">
        <f t="array" ref="B31:J31">Input_Data_Electrified!$B11:$J11*TRANSPOSE(Impact_Factors!$C$2:$C$10)</f>
        <v>51.7161</v>
      </c>
      <c r="C31" s="1">
        <v>19.019</v>
      </c>
      <c r="D31" s="1">
        <v>34.04</v>
      </c>
      <c r="E31" s="1">
        <v>15.1559</v>
      </c>
      <c r="F31" s="1">
        <v>0.0214474</v>
      </c>
      <c r="G31" s="1">
        <v>272.72</v>
      </c>
      <c r="H31" s="1">
        <v>0.0</v>
      </c>
      <c r="I31" s="1">
        <v>682.5</v>
      </c>
      <c r="J31" s="1">
        <v>0.0</v>
      </c>
      <c r="K31" s="1">
        <f>Input_Data_Electrified!K11*State_Electricity_Factors!B11</f>
        <v>1043.028</v>
      </c>
    </row>
    <row r="32" ht="15.75" customHeight="1">
      <c r="A32" s="1" t="s">
        <v>25</v>
      </c>
      <c r="B32" s="1">
        <f t="array" ref="B32:J32">Input_Data_Electrified!$B12:$J12*TRANSPOSE(Impact_Factors!$C$2:$C$10)</f>
        <v>95.589</v>
      </c>
      <c r="C32" s="1">
        <v>14.629999999999997</v>
      </c>
      <c r="D32" s="1">
        <v>35.604</v>
      </c>
      <c r="E32" s="1">
        <v>12.8619</v>
      </c>
      <c r="F32" s="1">
        <v>0.0138554</v>
      </c>
      <c r="G32" s="1">
        <v>304.185</v>
      </c>
      <c r="H32" s="1">
        <v>0.0</v>
      </c>
      <c r="I32" s="1">
        <v>218.4</v>
      </c>
      <c r="J32" s="1">
        <v>0.0</v>
      </c>
      <c r="K32" s="1">
        <f>Input_Data_Electrified!K12*State_Electricity_Factors!B12</f>
        <v>2339.7114</v>
      </c>
    </row>
    <row r="33" ht="15.75" customHeight="1">
      <c r="A33" s="1" t="s">
        <v>26</v>
      </c>
      <c r="B33" s="1">
        <f t="array" ref="B33:J33">Input_Data_Electrified!$B13:$J13*TRANSPOSE(Impact_Factors!$C$2:$C$10)</f>
        <v>80.883</v>
      </c>
      <c r="C33" s="1">
        <v>11.912999999999998</v>
      </c>
      <c r="D33" s="1">
        <v>25.208</v>
      </c>
      <c r="E33" s="1">
        <v>22.3262</v>
      </c>
      <c r="F33" s="1">
        <v>0.0140452</v>
      </c>
      <c r="G33" s="1">
        <v>261.27500000000003</v>
      </c>
      <c r="H33" s="1">
        <v>0.0</v>
      </c>
      <c r="I33" s="1">
        <v>655.1999999999999</v>
      </c>
      <c r="J33" s="1">
        <v>0.0</v>
      </c>
      <c r="K33" s="1">
        <f>Input_Data_Electrified!K13*State_Electricity_Factors!B13</f>
        <v>583.924</v>
      </c>
    </row>
    <row r="34" ht="15.75" customHeight="1">
      <c r="A34" s="1" t="s">
        <v>27</v>
      </c>
      <c r="B34" s="1">
        <f t="array" ref="B34:J34">Input_Data_Electrified!$B14:$J14*TRANSPOSE(Impact_Factors!$C$2:$C$10)</f>
        <v>159.315</v>
      </c>
      <c r="C34" s="1">
        <v>13.376</v>
      </c>
      <c r="D34" s="1">
        <v>44.2635</v>
      </c>
      <c r="E34" s="1">
        <v>2.9015999999999997</v>
      </c>
      <c r="F34" s="1">
        <v>0.018885100000000002</v>
      </c>
      <c r="G34" s="1">
        <v>432.39000000000004</v>
      </c>
      <c r="H34" s="1">
        <v>0.0</v>
      </c>
      <c r="I34" s="1">
        <v>300.3</v>
      </c>
      <c r="J34" s="1">
        <v>0.0</v>
      </c>
      <c r="K34" s="1">
        <f>Input_Data_Electrified!K14*State_Electricity_Factors!B14</f>
        <v>841.5848</v>
      </c>
    </row>
    <row r="35" ht="15.75" customHeight="1">
      <c r="A35" s="1" t="s">
        <v>28</v>
      </c>
      <c r="B35" s="1">
        <f t="array" ref="B35:J35">Input_Data_Electrified!$B15:$J15*TRANSPOSE(Impact_Factors!$C$2:$C$10)</f>
        <v>97.5498</v>
      </c>
      <c r="C35" s="1">
        <v>6.27</v>
      </c>
      <c r="D35" s="1">
        <v>33.7065</v>
      </c>
      <c r="E35" s="1">
        <v>33.0336</v>
      </c>
      <c r="F35" s="1">
        <v>0.0234403</v>
      </c>
      <c r="G35" s="1">
        <v>341.565</v>
      </c>
      <c r="H35" s="1">
        <v>0.0</v>
      </c>
      <c r="I35" s="1">
        <v>846.3000000000001</v>
      </c>
      <c r="J35" s="1">
        <v>0.0</v>
      </c>
      <c r="K35" s="1">
        <f>Input_Data_Electrified!K15*State_Electricity_Factors!B15</f>
        <v>325.3376</v>
      </c>
    </row>
    <row r="36" ht="15.75" customHeight="1">
      <c r="A36" s="1" t="s">
        <v>29</v>
      </c>
      <c r="B36" s="1">
        <f t="array" ref="B36:J36">Input_Data_Electrified!$B16:$J16*TRANSPOSE(Impact_Factors!$C$2:$C$10)</f>
        <v>74.7555</v>
      </c>
      <c r="C36" s="1">
        <v>14.420999999999998</v>
      </c>
      <c r="D36" s="1">
        <v>43.527499999999996</v>
      </c>
      <c r="E36" s="1">
        <v>21.253600000000002</v>
      </c>
      <c r="F36" s="1">
        <v>0.013286</v>
      </c>
      <c r="G36" s="1">
        <v>254.31</v>
      </c>
      <c r="H36" s="1">
        <v>0.0</v>
      </c>
      <c r="I36" s="1">
        <v>627.9</v>
      </c>
      <c r="J36" s="1">
        <v>0.0</v>
      </c>
      <c r="K36" s="1">
        <f>Input_Data_Electrified!K16*State_Electricity_Factors!B16</f>
        <v>247.7284</v>
      </c>
    </row>
    <row r="37" ht="15.75" customHeight="1">
      <c r="A37" s="1" t="s">
        <v>30</v>
      </c>
      <c r="B37" s="1">
        <f t="array" ref="B37:J37">Input_Data_Electrified!$B17:$J17*TRANSPOSE(Impact_Factors!$C$2:$C$10)</f>
        <v>139.707</v>
      </c>
      <c r="C37" s="1">
        <v>13.584999999999999</v>
      </c>
      <c r="D37" s="1">
        <v>35.2705</v>
      </c>
      <c r="E37" s="1">
        <v>1.4849</v>
      </c>
      <c r="F37" s="1">
        <v>0.0095849</v>
      </c>
      <c r="G37" s="1">
        <v>299.88</v>
      </c>
      <c r="H37" s="1">
        <v>0.0</v>
      </c>
      <c r="I37" s="1">
        <v>191.1</v>
      </c>
      <c r="J37" s="1">
        <v>0.0</v>
      </c>
      <c r="K37" s="1">
        <f>Input_Data_Electrified!K17*State_Electricity_Factors!B17</f>
        <v>1194.2662</v>
      </c>
    </row>
    <row r="38" ht="15.75" customHeight="1">
      <c r="A38" s="1" t="s">
        <v>31</v>
      </c>
      <c r="B38" s="1">
        <f t="array" ref="B38:J38">Input_Data_Electrified!$B18:$J18*TRANSPOSE(Impact_Factors!$C$2:$C$10)</f>
        <v>95.589</v>
      </c>
      <c r="C38" s="1">
        <v>14.629999999999997</v>
      </c>
      <c r="D38" s="1">
        <v>35.604</v>
      </c>
      <c r="E38" s="1">
        <v>12.8619</v>
      </c>
      <c r="F38" s="1">
        <v>0.0138554</v>
      </c>
      <c r="G38" s="1">
        <v>304.185</v>
      </c>
      <c r="H38" s="1">
        <v>0.0</v>
      </c>
      <c r="I38" s="1">
        <v>737.1</v>
      </c>
      <c r="J38" s="1">
        <v>0.0</v>
      </c>
      <c r="K38" s="1">
        <f>Input_Data_Electrified!K18*State_Electricity_Factors!B18</f>
        <v>347.9502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9.78"/>
    <col customWidth="1" min="3" max="26" width="10.56"/>
  </cols>
  <sheetData>
    <row r="1" ht="15.75" customHeight="1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</row>
    <row r="2" ht="15.75" customHeight="1">
      <c r="A2" s="1" t="s">
        <v>15</v>
      </c>
      <c r="B2" s="1">
        <f t="array" ref="B2:J2">Input_Data!$B2:$J2*TRANSPOSE(Impact_Factors!$D$2:$D$10)</f>
        <v>1252.15</v>
      </c>
      <c r="C2" s="1">
        <v>85.96000000000001</v>
      </c>
      <c r="D2" s="1">
        <v>677.2800000000001</v>
      </c>
      <c r="E2" s="1">
        <v>549.2239</v>
      </c>
      <c r="F2" s="1">
        <v>0.1908</v>
      </c>
      <c r="G2" s="1">
        <v>5226.65</v>
      </c>
      <c r="H2" s="1">
        <v>1415.4</v>
      </c>
      <c r="I2" s="1">
        <v>0.0</v>
      </c>
      <c r="J2" s="1">
        <v>0.0</v>
      </c>
      <c r="K2" s="1">
        <f>Input_Data!K2*State_Electricity_Factors!C2</f>
        <v>3059.645482</v>
      </c>
    </row>
    <row r="3" ht="15.75" customHeight="1">
      <c r="A3" s="1" t="s">
        <v>16</v>
      </c>
      <c r="B3" s="1">
        <f t="array" ref="B3:J3">Input_Data!$B3:$J3*TRANSPOSE(Impact_Factors!$D$2:$D$10)</f>
        <v>568.8</v>
      </c>
      <c r="C3" s="1">
        <v>55.26</v>
      </c>
      <c r="D3" s="1">
        <v>170.67999999999998</v>
      </c>
      <c r="E3" s="1">
        <v>7.914300000000001</v>
      </c>
      <c r="F3" s="1">
        <v>0.043199999999999995</v>
      </c>
      <c r="G3" s="1">
        <v>5595.7</v>
      </c>
      <c r="H3" s="1">
        <v>4015.2</v>
      </c>
      <c r="I3" s="1">
        <v>0.0</v>
      </c>
      <c r="J3" s="1">
        <v>0.0</v>
      </c>
      <c r="K3" s="1">
        <f>Input_Data!K3*State_Electricity_Factors!C3</f>
        <v>8176.6894</v>
      </c>
    </row>
    <row r="4" ht="15.75" customHeight="1">
      <c r="A4" s="1" t="s">
        <v>17</v>
      </c>
      <c r="B4" s="1">
        <f t="array" ref="B4:J4">Input_Data!$B4:$J4*TRANSPOSE(Impact_Factors!$D$2:$D$10)</f>
        <v>995.4</v>
      </c>
      <c r="C4" s="1">
        <v>368.4</v>
      </c>
      <c r="D4" s="1">
        <v>543.66</v>
      </c>
      <c r="E4" s="1">
        <v>432.50579999999997</v>
      </c>
      <c r="F4" s="1">
        <v>0.2592</v>
      </c>
      <c r="G4" s="1">
        <v>5627.05</v>
      </c>
      <c r="H4" s="1">
        <v>2982.0</v>
      </c>
      <c r="I4" s="1">
        <v>0.0</v>
      </c>
      <c r="J4" s="1">
        <v>0.0</v>
      </c>
      <c r="K4" s="1">
        <f>Input_Data!K4*State_Electricity_Factors!C4</f>
        <v>4107.808634</v>
      </c>
    </row>
    <row r="5" ht="15.75" customHeight="1">
      <c r="A5" s="1" t="s">
        <v>18</v>
      </c>
      <c r="B5" s="1">
        <f t="array" ref="B5:J5">Input_Data!$B5:$J5*TRANSPOSE(Impact_Factors!$D$2:$D$10)</f>
        <v>501.65</v>
      </c>
      <c r="C5" s="1">
        <v>144.29</v>
      </c>
      <c r="D5" s="1">
        <v>71.06</v>
      </c>
      <c r="E5" s="1">
        <v>60.3911</v>
      </c>
      <c r="F5" s="1">
        <v>0.1548</v>
      </c>
      <c r="G5" s="1">
        <v>3616.8</v>
      </c>
      <c r="H5" s="1">
        <v>3985.8</v>
      </c>
      <c r="I5" s="1">
        <v>0.0</v>
      </c>
      <c r="J5" s="1">
        <v>0.0</v>
      </c>
      <c r="K5" s="1">
        <f>Input_Data!K5*State_Electricity_Factors!C5</f>
        <v>3638.294418</v>
      </c>
    </row>
    <row r="6" ht="15.75" customHeight="1">
      <c r="A6" s="1" t="s">
        <v>19</v>
      </c>
      <c r="B6" s="1">
        <f t="array" ref="B6:J6">Input_Data!$B6:$J6*TRANSPOSE(Impact_Factors!$D$2:$D$10)</f>
        <v>1540.5</v>
      </c>
      <c r="C6" s="1">
        <v>214.89999999999998</v>
      </c>
      <c r="D6" s="1">
        <v>526.32</v>
      </c>
      <c r="E6" s="1">
        <v>295.82370000000003</v>
      </c>
      <c r="F6" s="1">
        <v>0.1752</v>
      </c>
      <c r="G6" s="1">
        <v>4780.05</v>
      </c>
      <c r="H6" s="1">
        <v>4628.400000000001</v>
      </c>
      <c r="I6" s="1">
        <v>0.0</v>
      </c>
      <c r="J6" s="1">
        <v>0.0</v>
      </c>
      <c r="K6" s="1">
        <f>Input_Data!K6*State_Electricity_Factors!C6</f>
        <v>3966.473449</v>
      </c>
    </row>
    <row r="7" ht="15.75" customHeight="1">
      <c r="A7" s="1" t="s">
        <v>20</v>
      </c>
      <c r="B7" s="1">
        <f t="array" ref="B7:J7">Input_Data!$B7:$J7*TRANSPOSE(Impact_Factors!$D$2:$D$10)</f>
        <v>1098.1</v>
      </c>
      <c r="C7" s="1">
        <v>92.1</v>
      </c>
      <c r="D7" s="1">
        <v>757.18</v>
      </c>
      <c r="E7" s="1">
        <v>557.9225</v>
      </c>
      <c r="F7" s="1">
        <v>0.1932</v>
      </c>
      <c r="G7" s="1">
        <v>4816.349999999999</v>
      </c>
      <c r="H7" s="1">
        <v>2368.7999999999997</v>
      </c>
      <c r="I7" s="1">
        <v>0.0</v>
      </c>
      <c r="J7" s="1">
        <v>0.0</v>
      </c>
      <c r="K7" s="1">
        <f>Input_Data!K7*State_Electricity_Factors!C7</f>
        <v>5811.97826</v>
      </c>
    </row>
    <row r="8" ht="15.75" customHeight="1">
      <c r="A8" s="1" t="s">
        <v>21</v>
      </c>
      <c r="B8" s="1">
        <f t="array" ref="B8:J8">Input_Data!$B8:$J8*TRANSPOSE(Impact_Factors!$D$2:$D$10)</f>
        <v>1540.5</v>
      </c>
      <c r="C8" s="1">
        <v>214.89999999999998</v>
      </c>
      <c r="D8" s="1">
        <v>526.32</v>
      </c>
      <c r="E8" s="1">
        <v>295.82370000000003</v>
      </c>
      <c r="F8" s="1">
        <v>0.1752</v>
      </c>
      <c r="G8" s="1">
        <v>4780.05</v>
      </c>
      <c r="H8" s="1">
        <v>4254.599999999999</v>
      </c>
      <c r="I8" s="1">
        <v>0.0</v>
      </c>
      <c r="J8" s="1">
        <v>0.0</v>
      </c>
      <c r="K8" s="1">
        <f>Input_Data!K8*State_Electricity_Factors!C8</f>
        <v>8393.244064</v>
      </c>
    </row>
    <row r="9" ht="15.75" customHeight="1">
      <c r="A9" s="1" t="s">
        <v>22</v>
      </c>
      <c r="B9" s="1">
        <f t="array" ref="B9:J9">Input_Data!$B9:$J9*TRANSPOSE(Impact_Factors!$D$2:$D$10)</f>
        <v>1508.9</v>
      </c>
      <c r="C9" s="1">
        <v>448.21999999999997</v>
      </c>
      <c r="D9" s="1">
        <v>580.7199999999999</v>
      </c>
      <c r="E9" s="1">
        <v>396.8558</v>
      </c>
      <c r="F9" s="1">
        <v>0.20879999999999999</v>
      </c>
      <c r="G9" s="1">
        <v>3870.8999999999996</v>
      </c>
      <c r="H9" s="1">
        <v>3460.8</v>
      </c>
      <c r="I9" s="1">
        <v>0.0</v>
      </c>
      <c r="J9" s="1">
        <v>0.0</v>
      </c>
      <c r="K9" s="1">
        <f>Input_Data!K9*State_Electricity_Factors!C9</f>
        <v>4820.610926</v>
      </c>
    </row>
    <row r="10" ht="15.75" customHeight="1">
      <c r="A10" s="1" t="s">
        <v>23</v>
      </c>
      <c r="B10" s="1">
        <f t="array" ref="B10:J10">Input_Data!$B10:$J10*TRANSPOSE(Impact_Factors!$D$2:$D$10)</f>
        <v>1299.55</v>
      </c>
      <c r="C10" s="1">
        <v>429.79999999999995</v>
      </c>
      <c r="D10" s="1">
        <v>339.66</v>
      </c>
      <c r="E10" s="1">
        <v>407.836</v>
      </c>
      <c r="F10" s="1">
        <v>0.1824</v>
      </c>
      <c r="G10" s="1">
        <v>4809.2</v>
      </c>
      <c r="H10" s="1">
        <v>3255.0</v>
      </c>
      <c r="I10" s="1">
        <v>0.0</v>
      </c>
      <c r="J10" s="1">
        <v>0.0</v>
      </c>
      <c r="K10" s="1">
        <f>Input_Data!K10*State_Electricity_Factors!C10</f>
        <v>3906.361105</v>
      </c>
    </row>
    <row r="11" ht="15.75" customHeight="1">
      <c r="A11" s="1" t="s">
        <v>24</v>
      </c>
      <c r="B11" s="1">
        <f t="array" ref="B11:J11">Input_Data!$B11:$J11*TRANSPOSE(Impact_Factors!$D$2:$D$10)</f>
        <v>833.45</v>
      </c>
      <c r="C11" s="1">
        <v>279.37</v>
      </c>
      <c r="D11" s="1">
        <v>503.20000000000005</v>
      </c>
      <c r="E11" s="1">
        <v>348.5857</v>
      </c>
      <c r="F11" s="1">
        <v>0.27119999999999994</v>
      </c>
      <c r="G11" s="1">
        <v>4285.6</v>
      </c>
      <c r="H11" s="1">
        <v>3939.6</v>
      </c>
      <c r="I11" s="1">
        <v>0.0</v>
      </c>
      <c r="J11" s="1">
        <v>0.0</v>
      </c>
      <c r="K11" s="1">
        <f>Input_Data!K11*State_Electricity_Factors!C11</f>
        <v>7363.359067</v>
      </c>
    </row>
    <row r="12" ht="15.75" customHeight="1">
      <c r="A12" s="1" t="s">
        <v>25</v>
      </c>
      <c r="B12" s="1">
        <f t="array" ref="B12:J12">Input_Data!$B12:$J12*TRANSPOSE(Impact_Factors!$D$2:$D$10)</f>
        <v>1540.5</v>
      </c>
      <c r="C12" s="1">
        <v>214.89999999999998</v>
      </c>
      <c r="D12" s="1">
        <v>526.32</v>
      </c>
      <c r="E12" s="1">
        <v>295.82370000000003</v>
      </c>
      <c r="F12" s="1">
        <v>0.1752</v>
      </c>
      <c r="G12" s="1">
        <v>4780.05</v>
      </c>
      <c r="H12" s="1">
        <v>8395.800000000001</v>
      </c>
      <c r="I12" s="1">
        <v>0.0</v>
      </c>
      <c r="J12" s="1">
        <v>0.0</v>
      </c>
      <c r="K12" s="1">
        <f>Input_Data!K12*State_Electricity_Factors!C12</f>
        <v>20030.84507</v>
      </c>
    </row>
    <row r="13" ht="15.75" customHeight="1">
      <c r="A13" s="1" t="s">
        <v>26</v>
      </c>
      <c r="B13" s="1">
        <f t="array" ref="B13:J13">Input_Data!$B13:$J13*TRANSPOSE(Impact_Factors!$D$2:$D$10)</f>
        <v>1303.5</v>
      </c>
      <c r="C13" s="1">
        <v>174.98999999999998</v>
      </c>
      <c r="D13" s="1">
        <v>372.64000000000004</v>
      </c>
      <c r="E13" s="1">
        <v>513.5025999999999</v>
      </c>
      <c r="F13" s="1">
        <v>0.17759999999999998</v>
      </c>
      <c r="G13" s="1">
        <v>4105.75</v>
      </c>
      <c r="H13" s="1">
        <v>3171.0</v>
      </c>
      <c r="I13" s="1">
        <v>0.0</v>
      </c>
      <c r="J13" s="1">
        <v>0.0</v>
      </c>
      <c r="K13" s="1">
        <f>Input_Data!K13*State_Electricity_Factors!C13</f>
        <v>7235.928306</v>
      </c>
    </row>
    <row r="14" ht="15.75" customHeight="1">
      <c r="A14" s="1" t="s">
        <v>27</v>
      </c>
      <c r="B14" s="1">
        <f t="array" ref="B14:J14">Input_Data!$B14:$J14*TRANSPOSE(Impact_Factors!$D$2:$D$10)</f>
        <v>2567.5</v>
      </c>
      <c r="C14" s="1">
        <v>196.48000000000002</v>
      </c>
      <c r="D14" s="1">
        <v>654.33</v>
      </c>
      <c r="E14" s="1">
        <v>66.73679999999999</v>
      </c>
      <c r="F14" s="1">
        <v>0.23879999999999998</v>
      </c>
      <c r="G14" s="1">
        <v>6794.700000000001</v>
      </c>
      <c r="H14" s="1">
        <v>4800.599999999999</v>
      </c>
      <c r="I14" s="1">
        <v>0.0</v>
      </c>
      <c r="J14" s="1">
        <v>0.0</v>
      </c>
      <c r="K14" s="1">
        <f>Input_Data!K14*State_Electricity_Factors!C14</f>
        <v>9351.437197</v>
      </c>
    </row>
    <row r="15" ht="15.75" customHeight="1">
      <c r="A15" s="1" t="s">
        <v>28</v>
      </c>
      <c r="B15" s="1">
        <f t="array" ref="B15:J15">Input_Data!$B15:$J15*TRANSPOSE(Impact_Factors!$D$2:$D$10)</f>
        <v>1572.1</v>
      </c>
      <c r="C15" s="1">
        <v>92.1</v>
      </c>
      <c r="D15" s="1">
        <v>498.27</v>
      </c>
      <c r="E15" s="1">
        <v>759.7728</v>
      </c>
      <c r="F15" s="1">
        <v>0.2964</v>
      </c>
      <c r="G15" s="1">
        <v>5367.45</v>
      </c>
      <c r="H15" s="1">
        <v>2738.4</v>
      </c>
      <c r="I15" s="1">
        <v>0.0</v>
      </c>
      <c r="J15" s="1">
        <v>0.0</v>
      </c>
      <c r="K15" s="1">
        <f>Input_Data!K15*State_Electricity_Factors!C15</f>
        <v>4758.311888</v>
      </c>
    </row>
    <row r="16" ht="15.75" customHeight="1">
      <c r="A16" s="1" t="s">
        <v>29</v>
      </c>
      <c r="B16" s="1">
        <f t="array" ref="B16:J16">Input_Data!$B16:$J16*TRANSPOSE(Impact_Factors!$D$2:$D$10)</f>
        <v>1204.75</v>
      </c>
      <c r="C16" s="1">
        <v>211.82999999999998</v>
      </c>
      <c r="D16" s="1">
        <v>643.45</v>
      </c>
      <c r="E16" s="1">
        <v>488.8328</v>
      </c>
      <c r="F16" s="1">
        <v>0.16799999999999998</v>
      </c>
      <c r="G16" s="1">
        <v>3996.2999999999997</v>
      </c>
      <c r="H16" s="1">
        <v>1096.2</v>
      </c>
      <c r="I16" s="1">
        <v>0.0</v>
      </c>
      <c r="J16" s="1">
        <v>0.0</v>
      </c>
      <c r="K16" s="1">
        <f>Input_Data!K16*State_Electricity_Factors!C16</f>
        <v>3066.9223</v>
      </c>
    </row>
    <row r="17" ht="15.75" customHeight="1">
      <c r="A17" s="1" t="s">
        <v>30</v>
      </c>
      <c r="B17" s="1">
        <f t="array" ref="B17:J17">Input_Data!$B17:$J17*TRANSPOSE(Impact_Factors!$D$2:$D$10)</f>
        <v>2251.5</v>
      </c>
      <c r="C17" s="1">
        <v>199.55</v>
      </c>
      <c r="D17" s="1">
        <v>521.39</v>
      </c>
      <c r="E17" s="1">
        <v>34.1527</v>
      </c>
      <c r="F17" s="1">
        <v>0.1212</v>
      </c>
      <c r="G17" s="1">
        <v>4712.400000000001</v>
      </c>
      <c r="H17" s="1">
        <v>7946.4</v>
      </c>
      <c r="I17" s="1">
        <v>0.0</v>
      </c>
      <c r="J17" s="1">
        <v>0.0</v>
      </c>
      <c r="K17" s="1">
        <f>Input_Data!K17*State_Electricity_Factors!C17</f>
        <v>10123.90435</v>
      </c>
    </row>
    <row r="18" ht="15.75" customHeight="1">
      <c r="A18" s="1" t="s">
        <v>31</v>
      </c>
      <c r="B18" s="1">
        <f t="array" ref="B18:J18">Input_Data!$B18:$J18*TRANSPOSE(Impact_Factors!$D$2:$D$10)</f>
        <v>1540.5</v>
      </c>
      <c r="C18" s="1">
        <v>214.89999999999998</v>
      </c>
      <c r="D18" s="1">
        <v>526.32</v>
      </c>
      <c r="E18" s="1">
        <v>295.82370000000003</v>
      </c>
      <c r="F18" s="1">
        <v>0.1752</v>
      </c>
      <c r="G18" s="1">
        <v>4780.05</v>
      </c>
      <c r="H18" s="1">
        <v>2045.4</v>
      </c>
      <c r="I18" s="1">
        <v>0.0</v>
      </c>
      <c r="J18" s="1">
        <v>0.0</v>
      </c>
      <c r="K18" s="1">
        <f>Input_Data!K18*State_Electricity_Factors!C18</f>
        <v>5027.656834</v>
      </c>
    </row>
    <row r="19" ht="15.75" customHeight="1">
      <c r="A19" s="1" t="s">
        <v>82</v>
      </c>
      <c r="B19" s="1" t="s">
        <v>82</v>
      </c>
    </row>
    <row r="20" ht="15.75" customHeight="1">
      <c r="A20" s="1" t="s">
        <v>83</v>
      </c>
    </row>
    <row r="21" ht="15.75" customHeight="1">
      <c r="A21" s="1" t="s">
        <v>0</v>
      </c>
      <c r="B21" s="1" t="s">
        <v>84</v>
      </c>
      <c r="C21" s="1" t="s">
        <v>85</v>
      </c>
      <c r="D21" s="1" t="s">
        <v>86</v>
      </c>
      <c r="E21" s="1" t="s">
        <v>87</v>
      </c>
      <c r="F21" s="1" t="s">
        <v>88</v>
      </c>
      <c r="G21" s="1" t="s">
        <v>89</v>
      </c>
      <c r="H21" s="1" t="s">
        <v>90</v>
      </c>
      <c r="I21" s="1" t="s">
        <v>91</v>
      </c>
      <c r="J21" s="1" t="s">
        <v>92</v>
      </c>
      <c r="K21" s="1" t="s">
        <v>93</v>
      </c>
    </row>
    <row r="22" ht="15.75" customHeight="1">
      <c r="A22" s="1" t="s">
        <v>15</v>
      </c>
      <c r="B22" s="1">
        <f t="array" ref="B22:J22">Input_Data_Electrified!$B2:$J2*TRANSPOSE(Impact_Factors!$D$2:$D$10)</f>
        <v>1252.15</v>
      </c>
      <c r="C22" s="1">
        <v>85.96000000000001</v>
      </c>
      <c r="D22" s="1">
        <v>677.2800000000001</v>
      </c>
      <c r="E22" s="1">
        <v>549.2239</v>
      </c>
      <c r="F22" s="1">
        <v>0.1908</v>
      </c>
      <c r="G22" s="1">
        <v>5226.65</v>
      </c>
      <c r="H22" s="1">
        <v>0.0</v>
      </c>
      <c r="I22" s="1">
        <v>0.0</v>
      </c>
      <c r="J22" s="1">
        <v>0.0</v>
      </c>
      <c r="K22" s="1">
        <f>Input_Data_Electrified!K2*State_Electricity_Factors!C2</f>
        <v>4155.23648</v>
      </c>
    </row>
    <row r="23" ht="15.75" customHeight="1">
      <c r="A23" s="1" t="s">
        <v>16</v>
      </c>
      <c r="B23" s="1">
        <f t="array" ref="B23:J23">Input_Data_Electrified!$B3:$J3*TRANSPOSE(Impact_Factors!$D$2:$D$10)</f>
        <v>568.8</v>
      </c>
      <c r="C23" s="1">
        <v>55.26</v>
      </c>
      <c r="D23" s="1">
        <v>170.67999999999998</v>
      </c>
      <c r="E23" s="1">
        <v>7.914300000000001</v>
      </c>
      <c r="F23" s="1">
        <v>0.043199999999999995</v>
      </c>
      <c r="G23" s="1">
        <v>5595.7</v>
      </c>
      <c r="H23" s="1">
        <v>0.0</v>
      </c>
      <c r="I23" s="1">
        <v>0.0</v>
      </c>
      <c r="J23" s="1">
        <v>0.0</v>
      </c>
      <c r="K23" s="1">
        <f>Input_Data_Electrified!K3*State_Electricity_Factors!C3</f>
        <v>11300.33178</v>
      </c>
    </row>
    <row r="24" ht="15.75" customHeight="1">
      <c r="A24" s="1" t="s">
        <v>17</v>
      </c>
      <c r="B24" s="1">
        <f t="array" ref="B24:J24">Input_Data_Electrified!$B4:$J4*TRANSPOSE(Impact_Factors!$D$2:$D$10)</f>
        <v>995.4</v>
      </c>
      <c r="C24" s="1">
        <v>368.4</v>
      </c>
      <c r="D24" s="1">
        <v>543.66</v>
      </c>
      <c r="E24" s="1">
        <v>432.50579999999997</v>
      </c>
      <c r="F24" s="1">
        <v>0.2592</v>
      </c>
      <c r="G24" s="1">
        <v>5627.05</v>
      </c>
      <c r="H24" s="1">
        <v>0.0</v>
      </c>
      <c r="I24" s="1">
        <v>0.0</v>
      </c>
      <c r="J24" s="1">
        <v>0.0</v>
      </c>
      <c r="K24" s="1">
        <f>Input_Data_Electrified!K4*State_Electricity_Factors!C4</f>
        <v>6724.610056</v>
      </c>
    </row>
    <row r="25" ht="15.75" customHeight="1">
      <c r="A25" s="1" t="s">
        <v>18</v>
      </c>
      <c r="B25" s="1">
        <f t="array" ref="B25:J25">Input_Data_Electrified!$B5:$J5*TRANSPOSE(Impact_Factors!$D$2:$D$10)</f>
        <v>501.65</v>
      </c>
      <c r="C25" s="1">
        <v>144.29</v>
      </c>
      <c r="D25" s="1">
        <v>71.06</v>
      </c>
      <c r="E25" s="1">
        <v>60.3911</v>
      </c>
      <c r="F25" s="1">
        <v>0.1548</v>
      </c>
      <c r="G25" s="1">
        <v>3616.8</v>
      </c>
      <c r="H25" s="1">
        <v>0.0</v>
      </c>
      <c r="I25" s="1">
        <v>0.0</v>
      </c>
      <c r="J25" s="1">
        <v>0.0</v>
      </c>
      <c r="K25" s="1">
        <f>Input_Data_Electrified!K5*State_Electricity_Factors!C5</f>
        <v>6283.612574</v>
      </c>
    </row>
    <row r="26" ht="15.75" customHeight="1">
      <c r="A26" s="1" t="s">
        <v>19</v>
      </c>
      <c r="B26" s="1">
        <f t="array" ref="B26:J26">Input_Data_Electrified!$B6:$J6*TRANSPOSE(Impact_Factors!$D$2:$D$10)</f>
        <v>1540.5</v>
      </c>
      <c r="C26" s="1">
        <v>214.89999999999998</v>
      </c>
      <c r="D26" s="1">
        <v>526.32</v>
      </c>
      <c r="E26" s="1">
        <v>295.82370000000003</v>
      </c>
      <c r="F26" s="1">
        <v>0.1752</v>
      </c>
      <c r="G26" s="1">
        <v>4780.05</v>
      </c>
      <c r="H26" s="1">
        <v>0.0</v>
      </c>
      <c r="I26" s="1">
        <v>0.0</v>
      </c>
      <c r="J26" s="1">
        <v>0.0</v>
      </c>
      <c r="K26" s="1">
        <f>Input_Data_Electrified!K6*State_Electricity_Factors!C6</f>
        <v>8119.49363</v>
      </c>
    </row>
    <row r="27" ht="15.75" customHeight="1">
      <c r="A27" s="1" t="s">
        <v>20</v>
      </c>
      <c r="B27" s="1">
        <f t="array" ref="B27:J27">Input_Data_Electrified!$B7:$J7*TRANSPOSE(Impact_Factors!$D$2:$D$10)</f>
        <v>1098.1</v>
      </c>
      <c r="C27" s="1">
        <v>92.1</v>
      </c>
      <c r="D27" s="1">
        <v>757.18</v>
      </c>
      <c r="E27" s="1">
        <v>557.9225</v>
      </c>
      <c r="F27" s="1">
        <v>0.1932</v>
      </c>
      <c r="G27" s="1">
        <v>4816.349999999999</v>
      </c>
      <c r="H27" s="1">
        <v>0.0</v>
      </c>
      <c r="I27" s="1">
        <v>0.0</v>
      </c>
      <c r="J27" s="1">
        <v>0.0</v>
      </c>
      <c r="K27" s="1">
        <f>Input_Data_Electrified!K7*State_Electricity_Factors!C7</f>
        <v>7757.877511</v>
      </c>
    </row>
    <row r="28" ht="15.75" customHeight="1">
      <c r="A28" s="1" t="s">
        <v>21</v>
      </c>
      <c r="B28" s="1">
        <f t="array" ref="B28:J28">Input_Data_Electrified!$B8:$J8*TRANSPOSE(Impact_Factors!$D$2:$D$10)</f>
        <v>1540.5</v>
      </c>
      <c r="C28" s="1">
        <v>214.89999999999998</v>
      </c>
      <c r="D28" s="1">
        <v>526.32</v>
      </c>
      <c r="E28" s="1">
        <v>295.82370000000003</v>
      </c>
      <c r="F28" s="1">
        <v>0.1752</v>
      </c>
      <c r="G28" s="1">
        <v>4780.05</v>
      </c>
      <c r="H28" s="1">
        <v>0.0</v>
      </c>
      <c r="I28" s="1">
        <v>0.0</v>
      </c>
      <c r="J28" s="1">
        <v>0.0</v>
      </c>
      <c r="K28" s="1">
        <f>Input_Data_Electrified!K8*State_Electricity_Factors!C8</f>
        <v>11583.07758</v>
      </c>
    </row>
    <row r="29" ht="15.75" customHeight="1">
      <c r="A29" s="1" t="s">
        <v>22</v>
      </c>
      <c r="B29" s="1">
        <f t="array" ref="B29:J29">Input_Data_Electrified!$B9:$J9*TRANSPOSE(Impact_Factors!$D$2:$D$10)</f>
        <v>1508.9</v>
      </c>
      <c r="C29" s="1">
        <v>448.21999999999997</v>
      </c>
      <c r="D29" s="1">
        <v>580.7199999999999</v>
      </c>
      <c r="E29" s="1">
        <v>396.8558</v>
      </c>
      <c r="F29" s="1">
        <v>0.20879999999999999</v>
      </c>
      <c r="G29" s="1">
        <v>3870.8999999999996</v>
      </c>
      <c r="H29" s="1">
        <v>0.0</v>
      </c>
      <c r="I29" s="1">
        <v>0.0</v>
      </c>
      <c r="J29" s="1">
        <v>0.0</v>
      </c>
      <c r="K29" s="1">
        <f>Input_Data_Electrified!K9*State_Electricity_Factors!C9</f>
        <v>8159.217797</v>
      </c>
    </row>
    <row r="30" ht="15.75" customHeight="1">
      <c r="A30" s="1" t="s">
        <v>23</v>
      </c>
      <c r="B30" s="1">
        <f t="array" ref="B30:J30">Input_Data_Electrified!$B10:$J10*TRANSPOSE(Impact_Factors!$D$2:$D$10)</f>
        <v>1299.55</v>
      </c>
      <c r="C30" s="1">
        <v>429.79999999999995</v>
      </c>
      <c r="D30" s="1">
        <v>339.66</v>
      </c>
      <c r="E30" s="1">
        <v>407.836</v>
      </c>
      <c r="F30" s="1">
        <v>0.1824</v>
      </c>
      <c r="G30" s="1">
        <v>4809.2</v>
      </c>
      <c r="H30" s="1">
        <v>0.0</v>
      </c>
      <c r="I30" s="1">
        <v>0.0</v>
      </c>
      <c r="J30" s="1">
        <v>0.0</v>
      </c>
      <c r="K30" s="1">
        <f>Input_Data_Electrified!K10*State_Electricity_Factors!C10</f>
        <v>6766.719998</v>
      </c>
    </row>
    <row r="31" ht="15.75" customHeight="1">
      <c r="A31" s="1" t="s">
        <v>24</v>
      </c>
      <c r="B31" s="1">
        <f t="array" ref="B31:J31">Input_Data_Electrified!$B11:$J11*TRANSPOSE(Impact_Factors!$D$2:$D$10)</f>
        <v>833.45</v>
      </c>
      <c r="C31" s="1">
        <v>279.37</v>
      </c>
      <c r="D31" s="1">
        <v>503.20000000000005</v>
      </c>
      <c r="E31" s="1">
        <v>348.5857</v>
      </c>
      <c r="F31" s="1">
        <v>0.27119999999999994</v>
      </c>
      <c r="G31" s="1">
        <v>4285.6</v>
      </c>
      <c r="H31" s="1">
        <v>0.0</v>
      </c>
      <c r="I31" s="1">
        <v>0.0</v>
      </c>
      <c r="J31" s="1">
        <v>0.0</v>
      </c>
      <c r="K31" s="1">
        <f>Input_Data_Electrified!K11*State_Electricity_Factors!C11</f>
        <v>11436.00119</v>
      </c>
    </row>
    <row r="32" ht="15.75" customHeight="1">
      <c r="A32" s="1" t="s">
        <v>25</v>
      </c>
      <c r="B32" s="1">
        <f t="array" ref="B32:J32">Input_Data_Electrified!$B12:$J12*TRANSPOSE(Impact_Factors!$D$2:$D$10)</f>
        <v>1540.5</v>
      </c>
      <c r="C32" s="1">
        <v>214.89999999999998</v>
      </c>
      <c r="D32" s="1">
        <v>526.32</v>
      </c>
      <c r="E32" s="1">
        <v>295.82370000000003</v>
      </c>
      <c r="F32" s="1">
        <v>0.1752</v>
      </c>
      <c r="G32" s="1">
        <v>4780.05</v>
      </c>
      <c r="H32" s="1">
        <v>0.0</v>
      </c>
      <c r="I32" s="1">
        <v>0.0</v>
      </c>
      <c r="J32" s="1">
        <v>0.0</v>
      </c>
      <c r="K32" s="1">
        <f>Input_Data_Electrified!K12*State_Electricity_Factors!C12</f>
        <v>28492.65291</v>
      </c>
    </row>
    <row r="33" ht="15.75" customHeight="1">
      <c r="A33" s="1" t="s">
        <v>26</v>
      </c>
      <c r="B33" s="1">
        <f t="array" ref="B33:J33">Input_Data_Electrified!$B13:$J13*TRANSPOSE(Impact_Factors!$D$2:$D$10)</f>
        <v>1303.5</v>
      </c>
      <c r="C33" s="1">
        <v>174.98999999999998</v>
      </c>
      <c r="D33" s="1">
        <v>372.64000000000004</v>
      </c>
      <c r="E33" s="1">
        <v>513.5025999999999</v>
      </c>
      <c r="F33" s="1">
        <v>0.17759999999999998</v>
      </c>
      <c r="G33" s="1">
        <v>4105.75</v>
      </c>
      <c r="H33" s="1">
        <v>0.0</v>
      </c>
      <c r="I33" s="1">
        <v>0.0</v>
      </c>
      <c r="J33" s="1">
        <v>0.0</v>
      </c>
      <c r="K33" s="1">
        <f>Input_Data_Electrified!K13*State_Electricity_Factors!C13</f>
        <v>9652.025787</v>
      </c>
    </row>
    <row r="34" ht="15.75" customHeight="1">
      <c r="A34" s="1" t="s">
        <v>27</v>
      </c>
      <c r="B34" s="1">
        <f t="array" ref="B34:J34">Input_Data_Electrified!$B14:$J14*TRANSPOSE(Impact_Factors!$D$2:$D$10)</f>
        <v>2567.5</v>
      </c>
      <c r="C34" s="1">
        <v>196.48000000000002</v>
      </c>
      <c r="D34" s="1">
        <v>654.33</v>
      </c>
      <c r="E34" s="1">
        <v>66.73679999999999</v>
      </c>
      <c r="F34" s="1">
        <v>0.23879999999999998</v>
      </c>
      <c r="G34" s="1">
        <v>6794.700000000001</v>
      </c>
      <c r="H34" s="1">
        <v>0.0</v>
      </c>
      <c r="I34" s="1">
        <v>0.0</v>
      </c>
      <c r="J34" s="1">
        <v>0.0</v>
      </c>
      <c r="K34" s="1">
        <f>Input_Data_Electrified!K14*State_Electricity_Factors!C14</f>
        <v>13223.51425</v>
      </c>
    </row>
    <row r="35" ht="15.75" customHeight="1">
      <c r="A35" s="1" t="s">
        <v>28</v>
      </c>
      <c r="B35" s="1">
        <f t="array" ref="B35:J35">Input_Data_Electrified!$B15:$J15*TRANSPOSE(Impact_Factors!$D$2:$D$10)</f>
        <v>1572.1</v>
      </c>
      <c r="C35" s="1">
        <v>92.1</v>
      </c>
      <c r="D35" s="1">
        <v>498.27</v>
      </c>
      <c r="E35" s="1">
        <v>759.7728</v>
      </c>
      <c r="F35" s="1">
        <v>0.2964</v>
      </c>
      <c r="G35" s="1">
        <v>5367.45</v>
      </c>
      <c r="H35" s="1">
        <v>0.0</v>
      </c>
      <c r="I35" s="1">
        <v>0.0</v>
      </c>
      <c r="J35" s="1">
        <v>0.0</v>
      </c>
      <c r="K35" s="1">
        <f>Input_Data_Electrified!K15*State_Electricity_Factors!C15</f>
        <v>6628.775733</v>
      </c>
    </row>
    <row r="36" ht="15.75" customHeight="1">
      <c r="A36" s="1" t="s">
        <v>29</v>
      </c>
      <c r="B36" s="1">
        <f t="array" ref="B36:J36">Input_Data_Electrified!$B16:$J16*TRANSPOSE(Impact_Factors!$D$2:$D$10)</f>
        <v>1204.75</v>
      </c>
      <c r="C36" s="1">
        <v>211.82999999999998</v>
      </c>
      <c r="D36" s="1">
        <v>643.45</v>
      </c>
      <c r="E36" s="1">
        <v>488.8328</v>
      </c>
      <c r="F36" s="1">
        <v>0.16799999999999998</v>
      </c>
      <c r="G36" s="1">
        <v>3996.2999999999997</v>
      </c>
      <c r="H36" s="1">
        <v>0.0</v>
      </c>
      <c r="I36" s="1">
        <v>0.0</v>
      </c>
      <c r="J36" s="1">
        <v>0.0</v>
      </c>
      <c r="K36" s="1">
        <f>Input_Data_Electrified!K16*State_Electricity_Factors!C16</f>
        <v>3898.183467</v>
      </c>
    </row>
    <row r="37" ht="15.75" customHeight="1">
      <c r="A37" s="1" t="s">
        <v>30</v>
      </c>
      <c r="B37" s="1">
        <f t="array" ref="B37:J37">Input_Data_Electrified!$B17:$J17*TRANSPOSE(Impact_Factors!$D$2:$D$10)</f>
        <v>2251.5</v>
      </c>
      <c r="C37" s="1">
        <v>199.55</v>
      </c>
      <c r="D37" s="1">
        <v>521.39</v>
      </c>
      <c r="E37" s="1">
        <v>34.1527</v>
      </c>
      <c r="F37" s="1">
        <v>0.1212</v>
      </c>
      <c r="G37" s="1">
        <v>4712.400000000001</v>
      </c>
      <c r="H37" s="1">
        <v>0.0</v>
      </c>
      <c r="I37" s="1">
        <v>0.0</v>
      </c>
      <c r="J37" s="1">
        <v>0.0</v>
      </c>
      <c r="K37" s="1">
        <f>Input_Data_Electrified!K17*State_Electricity_Factors!C17</f>
        <v>17196.11035</v>
      </c>
    </row>
    <row r="38" ht="15.75" customHeight="1">
      <c r="A38" s="1" t="s">
        <v>31</v>
      </c>
      <c r="B38" s="1">
        <f t="array" ref="B38:J38">Input_Data_Electrified!$B18:$J18*TRANSPOSE(Impact_Factors!$D$2:$D$10)</f>
        <v>1540.5</v>
      </c>
      <c r="C38" s="1">
        <v>214.89999999999998</v>
      </c>
      <c r="D38" s="1">
        <v>526.32</v>
      </c>
      <c r="E38" s="1">
        <v>295.82370000000003</v>
      </c>
      <c r="F38" s="1">
        <v>0.1752</v>
      </c>
      <c r="G38" s="1">
        <v>4780.05</v>
      </c>
      <c r="H38" s="1">
        <v>0.0</v>
      </c>
      <c r="I38" s="1">
        <v>0.0</v>
      </c>
      <c r="J38" s="1">
        <v>0.0</v>
      </c>
      <c r="K38" s="1">
        <f>Input_Data_Electrified!K18*State_Electricity_Factors!C18</f>
        <v>6616.868084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9.78"/>
    <col customWidth="1" min="3" max="26" width="10.56"/>
  </cols>
  <sheetData>
    <row r="1" ht="15.75" customHeight="1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</row>
    <row r="2" ht="15.75" customHeight="1">
      <c r="A2" s="1" t="s">
        <v>15</v>
      </c>
      <c r="B2" s="1">
        <f t="array" ref="B2:J2">Input_Data!$B2:$J2*TRANSPOSE(Impact_Factors!$E$2:$E$10)</f>
        <v>214.7358</v>
      </c>
      <c r="C2" s="1">
        <v>10.8948</v>
      </c>
      <c r="D2" s="1">
        <v>1466.5104000000001</v>
      </c>
      <c r="E2" s="1">
        <v>761.8267000000001</v>
      </c>
      <c r="F2" s="1">
        <v>0.1749</v>
      </c>
      <c r="G2" s="1">
        <v>1458.7105</v>
      </c>
      <c r="H2" s="1">
        <v>101.10000000000001</v>
      </c>
      <c r="I2" s="1">
        <v>0.0</v>
      </c>
      <c r="J2" s="1">
        <v>111785.90699999999</v>
      </c>
      <c r="K2" s="1">
        <f>Input_Data!K2*State_Electricity_Factors!D2</f>
        <v>1012.625837</v>
      </c>
    </row>
    <row r="3" ht="15.75" customHeight="1">
      <c r="A3" s="1" t="s">
        <v>16</v>
      </c>
      <c r="B3" s="1">
        <f t="array" ref="B3:J3">Input_Data!$B3:$J3*TRANSPOSE(Impact_Factors!$E$2:$E$10)</f>
        <v>97.5456</v>
      </c>
      <c r="C3" s="1">
        <v>7.003799999999999</v>
      </c>
      <c r="D3" s="1">
        <v>369.5724</v>
      </c>
      <c r="E3" s="1">
        <v>10.977900000000002</v>
      </c>
      <c r="F3" s="1">
        <v>0.039599999999999996</v>
      </c>
      <c r="G3" s="1">
        <v>1561.7089999999998</v>
      </c>
      <c r="H3" s="1">
        <v>286.79999999999995</v>
      </c>
      <c r="I3" s="1">
        <v>0.0</v>
      </c>
      <c r="J3" s="1">
        <v>7132124.394</v>
      </c>
      <c r="K3" s="1">
        <f>Input_Data!K3*State_Electricity_Factors!D3</f>
        <v>2698.109542</v>
      </c>
    </row>
    <row r="4" ht="15.75" customHeight="1">
      <c r="A4" s="1" t="s">
        <v>17</v>
      </c>
      <c r="B4" s="1">
        <f t="array" ref="B4:J4">Input_Data!$B4:$J4*TRANSPOSE(Impact_Factors!$E$2:$E$10)</f>
        <v>170.7048</v>
      </c>
      <c r="C4" s="1">
        <v>46.69199999999999</v>
      </c>
      <c r="D4" s="1">
        <v>1177.1838</v>
      </c>
      <c r="E4" s="1">
        <v>599.9274</v>
      </c>
      <c r="F4" s="1">
        <v>0.2376</v>
      </c>
      <c r="G4" s="1">
        <v>1570.4585</v>
      </c>
      <c r="H4" s="1">
        <v>213.0</v>
      </c>
      <c r="I4" s="1">
        <v>0.0</v>
      </c>
      <c r="J4" s="1">
        <v>1435741.722</v>
      </c>
      <c r="K4" s="1">
        <f>Input_Data!K4*State_Electricity_Factors!D4</f>
        <v>1099.948333</v>
      </c>
    </row>
    <row r="5" ht="15.75" customHeight="1">
      <c r="A5" s="1" t="s">
        <v>18</v>
      </c>
      <c r="B5" s="1">
        <f t="array" ref="B5:J5">Input_Data!$B5:$J5*TRANSPOSE(Impact_Factors!$E$2:$E$10)</f>
        <v>86.0298</v>
      </c>
      <c r="C5" s="1">
        <v>18.287699999999997</v>
      </c>
      <c r="D5" s="1">
        <v>153.8658</v>
      </c>
      <c r="E5" s="1">
        <v>83.76830000000001</v>
      </c>
      <c r="F5" s="1">
        <v>0.1419</v>
      </c>
      <c r="G5" s="1">
        <v>1009.416</v>
      </c>
      <c r="H5" s="1">
        <v>284.70000000000005</v>
      </c>
      <c r="I5" s="1">
        <v>0.0</v>
      </c>
      <c r="J5" s="1">
        <v>5342918.018999999</v>
      </c>
      <c r="K5" s="1">
        <f>Input_Data!K5*State_Electricity_Factors!D5</f>
        <v>2572.838917</v>
      </c>
    </row>
    <row r="6" ht="15.75" customHeight="1">
      <c r="A6" s="1" t="s">
        <v>19</v>
      </c>
      <c r="B6" s="1">
        <f t="array" ref="B6:J6">Input_Data!$B6:$J6*TRANSPOSE(Impact_Factors!$E$2:$E$10)</f>
        <v>264.186</v>
      </c>
      <c r="C6" s="1">
        <v>27.236999999999995</v>
      </c>
      <c r="D6" s="1">
        <v>1139.6376</v>
      </c>
      <c r="E6" s="1">
        <v>410.33610000000004</v>
      </c>
      <c r="F6" s="1">
        <v>0.1606</v>
      </c>
      <c r="G6" s="1">
        <v>1334.0684999999999</v>
      </c>
      <c r="H6" s="1">
        <v>330.6</v>
      </c>
      <c r="I6" s="1">
        <v>0.0</v>
      </c>
      <c r="J6" s="1">
        <v>344354.8801</v>
      </c>
      <c r="K6" s="1">
        <f>Input_Data!K6*State_Electricity_Factors!D6</f>
        <v>497.787489</v>
      </c>
    </row>
    <row r="7" ht="15.75" customHeight="1">
      <c r="A7" s="1" t="s">
        <v>20</v>
      </c>
      <c r="B7" s="1">
        <f t="array" ref="B7:J7">Input_Data!$B7:$J7*TRANSPOSE(Impact_Factors!$E$2:$E$10)</f>
        <v>188.3172</v>
      </c>
      <c r="C7" s="1">
        <v>11.672999999999998</v>
      </c>
      <c r="D7" s="1">
        <v>1639.5174000000002</v>
      </c>
      <c r="E7" s="1">
        <v>773.8925</v>
      </c>
      <c r="F7" s="1">
        <v>0.1771</v>
      </c>
      <c r="G7" s="1">
        <v>1344.1995</v>
      </c>
      <c r="H7" s="1">
        <v>169.2</v>
      </c>
      <c r="I7" s="1">
        <v>0.0</v>
      </c>
      <c r="J7" s="1">
        <v>446116.1355</v>
      </c>
      <c r="K7" s="1">
        <f>Input_Data!K7*State_Electricity_Factors!D7</f>
        <v>1192.506695</v>
      </c>
    </row>
    <row r="8" ht="15.75" customHeight="1">
      <c r="A8" s="1" t="s">
        <v>21</v>
      </c>
      <c r="B8" s="1">
        <f t="array" ref="B8:J8">Input_Data!$B8:$J8*TRANSPOSE(Impact_Factors!$E$2:$E$10)</f>
        <v>264.186</v>
      </c>
      <c r="C8" s="1">
        <v>27.236999999999995</v>
      </c>
      <c r="D8" s="1">
        <v>1139.6376</v>
      </c>
      <c r="E8" s="1">
        <v>410.33610000000004</v>
      </c>
      <c r="F8" s="1">
        <v>0.1606</v>
      </c>
      <c r="G8" s="1">
        <v>1334.0684999999999</v>
      </c>
      <c r="H8" s="1">
        <v>303.9</v>
      </c>
      <c r="I8" s="1">
        <v>0.0</v>
      </c>
      <c r="J8" s="1">
        <v>480094.5633</v>
      </c>
      <c r="K8" s="1">
        <f>Input_Data!K8*State_Electricity_Factors!D8</f>
        <v>1281.790824</v>
      </c>
    </row>
    <row r="9" ht="15.75" customHeight="1">
      <c r="A9" s="1" t="s">
        <v>22</v>
      </c>
      <c r="B9" s="1">
        <f t="array" ref="B9:J9">Input_Data!$B9:$J9*TRANSPOSE(Impact_Factors!$E$2:$E$10)</f>
        <v>258.7668</v>
      </c>
      <c r="C9" s="1">
        <v>56.80859999999999</v>
      </c>
      <c r="D9" s="1">
        <v>1257.4296</v>
      </c>
      <c r="E9" s="1">
        <v>550.4774</v>
      </c>
      <c r="F9" s="1">
        <v>0.1914</v>
      </c>
      <c r="G9" s="1">
        <v>1080.3329999999999</v>
      </c>
      <c r="H9" s="1">
        <v>247.20000000000002</v>
      </c>
      <c r="I9" s="1">
        <v>0.0</v>
      </c>
      <c r="J9" s="1">
        <v>444194.6589</v>
      </c>
      <c r="K9" s="1">
        <f>Input_Data!K9*State_Electricity_Factors!D9</f>
        <v>688.5406674</v>
      </c>
    </row>
    <row r="10" ht="15.75" customHeight="1">
      <c r="A10" s="1" t="s">
        <v>23</v>
      </c>
      <c r="B10" s="1">
        <f t="array" ref="B10:J10">Input_Data!$B10:$J10*TRANSPOSE(Impact_Factors!$E$2:$E$10)</f>
        <v>222.8646</v>
      </c>
      <c r="C10" s="1">
        <v>54.47399999999999</v>
      </c>
      <c r="D10" s="1">
        <v>735.4638000000001</v>
      </c>
      <c r="E10" s="1">
        <v>565.7080000000001</v>
      </c>
      <c r="F10" s="1">
        <v>0.16720000000000002</v>
      </c>
      <c r="G10" s="1">
        <v>1342.204</v>
      </c>
      <c r="H10" s="1">
        <v>232.5</v>
      </c>
      <c r="I10" s="1">
        <v>0.0</v>
      </c>
      <c r="J10" s="1">
        <v>463419.4554</v>
      </c>
      <c r="K10" s="1">
        <f>Input_Data!K10*State_Electricity_Factors!D10</f>
        <v>457.7288025</v>
      </c>
    </row>
    <row r="11" ht="15.75" customHeight="1">
      <c r="A11" s="1" t="s">
        <v>24</v>
      </c>
      <c r="B11" s="1">
        <f t="array" ref="B11:J11">Input_Data!$B11:$J11*TRANSPOSE(Impact_Factors!$E$2:$E$10)</f>
        <v>142.9314</v>
      </c>
      <c r="C11" s="1">
        <v>35.4081</v>
      </c>
      <c r="D11" s="1">
        <v>1089.576</v>
      </c>
      <c r="E11" s="1">
        <v>483.5221</v>
      </c>
      <c r="F11" s="1">
        <v>0.2486</v>
      </c>
      <c r="G11" s="1">
        <v>1196.072</v>
      </c>
      <c r="H11" s="1">
        <v>281.4</v>
      </c>
      <c r="I11" s="1">
        <v>0.0</v>
      </c>
      <c r="J11" s="1">
        <v>651568.5931</v>
      </c>
      <c r="K11" s="1">
        <f>Input_Data!K11*State_Electricity_Factors!D11</f>
        <v>1425.646634</v>
      </c>
    </row>
    <row r="12" ht="15.75" customHeight="1">
      <c r="A12" s="1" t="s">
        <v>25</v>
      </c>
      <c r="B12" s="1">
        <f t="array" ref="B12:J12">Input_Data!$B12:$J12*TRANSPOSE(Impact_Factors!$E$2:$E$10)</f>
        <v>264.186</v>
      </c>
      <c r="C12" s="1">
        <v>27.236999999999995</v>
      </c>
      <c r="D12" s="1">
        <v>1139.6376</v>
      </c>
      <c r="E12" s="1">
        <v>410.33610000000004</v>
      </c>
      <c r="F12" s="1">
        <v>0.1606</v>
      </c>
      <c r="G12" s="1">
        <v>1334.0684999999999</v>
      </c>
      <c r="H12" s="1">
        <v>599.7</v>
      </c>
      <c r="I12" s="1">
        <v>0.0</v>
      </c>
      <c r="J12" s="1">
        <v>3962167.2739999997</v>
      </c>
      <c r="K12" s="1">
        <f>Input_Data!K12*State_Electricity_Factors!D12</f>
        <v>2743.969766</v>
      </c>
    </row>
    <row r="13" ht="15.75" customHeight="1">
      <c r="A13" s="1" t="s">
        <v>26</v>
      </c>
      <c r="B13" s="1">
        <f t="array" ref="B13:J13">Input_Data!$B13:$J13*TRANSPOSE(Impact_Factors!$E$2:$E$10)</f>
        <v>223.542</v>
      </c>
      <c r="C13" s="1">
        <v>22.178699999999996</v>
      </c>
      <c r="D13" s="1">
        <v>806.8752000000001</v>
      </c>
      <c r="E13" s="1">
        <v>712.2778</v>
      </c>
      <c r="F13" s="1">
        <v>0.1628</v>
      </c>
      <c r="G13" s="1">
        <v>1145.8775</v>
      </c>
      <c r="H13" s="1">
        <v>226.5</v>
      </c>
      <c r="I13" s="1">
        <v>0.0</v>
      </c>
      <c r="J13" s="1">
        <v>28744.97317</v>
      </c>
      <c r="K13" s="1">
        <f>Input_Data!K13*State_Electricity_Factors!D13</f>
        <v>1836.822642</v>
      </c>
    </row>
    <row r="14" ht="15.75" customHeight="1">
      <c r="A14" s="1" t="s">
        <v>27</v>
      </c>
      <c r="B14" s="1">
        <f t="array" ref="B14:J14">Input_Data!$B14:$J14*TRANSPOSE(Impact_Factors!$E$2:$E$10)</f>
        <v>440.31</v>
      </c>
      <c r="C14" s="1">
        <v>24.9024</v>
      </c>
      <c r="D14" s="1">
        <v>1416.8169000000003</v>
      </c>
      <c r="E14" s="1">
        <v>92.5704</v>
      </c>
      <c r="F14" s="1">
        <v>0.2189</v>
      </c>
      <c r="G14" s="1">
        <v>1896.339</v>
      </c>
      <c r="H14" s="1">
        <v>342.9</v>
      </c>
      <c r="I14" s="1">
        <v>0.0</v>
      </c>
      <c r="J14" s="1">
        <v>1351246.373</v>
      </c>
      <c r="K14" s="1">
        <f>Input_Data!K14*State_Electricity_Factors!D14</f>
        <v>1502.72567</v>
      </c>
    </row>
    <row r="15" ht="15.75" customHeight="1">
      <c r="A15" s="1" t="s">
        <v>28</v>
      </c>
      <c r="B15" s="1">
        <f t="array" ref="B15:J15">Input_Data!$B15:$J15*TRANSPOSE(Impact_Factors!$E$2:$E$10)</f>
        <v>269.6052</v>
      </c>
      <c r="C15" s="1">
        <v>11.672999999999998</v>
      </c>
      <c r="D15" s="1">
        <v>1078.9011</v>
      </c>
      <c r="E15" s="1">
        <v>1053.8784</v>
      </c>
      <c r="F15" s="1">
        <v>0.2717</v>
      </c>
      <c r="G15" s="1">
        <v>1498.0065</v>
      </c>
      <c r="H15" s="1">
        <v>195.60000000000002</v>
      </c>
      <c r="I15" s="1">
        <v>0.0</v>
      </c>
      <c r="J15" s="1">
        <v>194267.9591</v>
      </c>
      <c r="K15" s="1">
        <f>Input_Data!K15*State_Electricity_Factors!D15</f>
        <v>1389.290019</v>
      </c>
    </row>
    <row r="16" ht="15.75" customHeight="1">
      <c r="A16" s="1" t="s">
        <v>29</v>
      </c>
      <c r="B16" s="1">
        <f t="array" ref="B16:J16">Input_Data!$B16:$J16*TRANSPOSE(Impact_Factors!$E$2:$E$10)</f>
        <v>206.607</v>
      </c>
      <c r="C16" s="1">
        <v>26.847899999999996</v>
      </c>
      <c r="D16" s="1">
        <v>1393.2585000000001</v>
      </c>
      <c r="E16" s="1">
        <v>678.0584</v>
      </c>
      <c r="F16" s="1">
        <v>0.154</v>
      </c>
      <c r="G16" s="1">
        <v>1115.331</v>
      </c>
      <c r="H16" s="1">
        <v>78.30000000000001</v>
      </c>
      <c r="I16" s="1">
        <v>0.0</v>
      </c>
      <c r="J16" s="1">
        <v>101943.9018</v>
      </c>
      <c r="K16" s="1">
        <f>Input_Data!K16*State_Electricity_Factors!D16</f>
        <v>1439.79361</v>
      </c>
    </row>
    <row r="17" ht="15.75" customHeight="1">
      <c r="A17" s="1" t="s">
        <v>30</v>
      </c>
      <c r="B17" s="1">
        <f t="array" ref="B17:J17">Input_Data!$B17:$J17*TRANSPOSE(Impact_Factors!$E$2:$E$10)</f>
        <v>386.118</v>
      </c>
      <c r="C17" s="1">
        <v>25.2915</v>
      </c>
      <c r="D17" s="1">
        <v>1128.9627</v>
      </c>
      <c r="E17" s="1">
        <v>47.3731</v>
      </c>
      <c r="F17" s="1">
        <v>0.1111</v>
      </c>
      <c r="G17" s="1">
        <v>1315.188</v>
      </c>
      <c r="H17" s="1">
        <v>567.5999999999999</v>
      </c>
      <c r="I17" s="1">
        <v>0.0</v>
      </c>
      <c r="J17" s="1">
        <v>2998251.289</v>
      </c>
      <c r="K17" s="1">
        <f>Input_Data!K17*State_Electricity_Factors!D17</f>
        <v>1253.319779</v>
      </c>
    </row>
    <row r="18" ht="15.75" customHeight="1">
      <c r="A18" s="1" t="s">
        <v>31</v>
      </c>
      <c r="B18" s="1">
        <f t="array" ref="B18:J18">Input_Data!$B18:$J18*TRANSPOSE(Impact_Factors!$E$2:$E$10)</f>
        <v>264.186</v>
      </c>
      <c r="C18" s="1">
        <v>27.236999999999995</v>
      </c>
      <c r="D18" s="1">
        <v>1139.6376</v>
      </c>
      <c r="E18" s="1">
        <v>410.33610000000004</v>
      </c>
      <c r="F18" s="1">
        <v>0.1606</v>
      </c>
      <c r="G18" s="1">
        <v>1334.0684999999999</v>
      </c>
      <c r="H18" s="1">
        <v>146.10000000000002</v>
      </c>
      <c r="I18" s="1">
        <v>0.0</v>
      </c>
      <c r="J18" s="1">
        <v>1703.349514</v>
      </c>
      <c r="K18" s="1">
        <f>Input_Data!K18*State_Electricity_Factors!D18</f>
        <v>976.1564772</v>
      </c>
    </row>
    <row r="19" ht="15.75" customHeight="1">
      <c r="A19" s="1" t="s">
        <v>82</v>
      </c>
      <c r="B19" s="1" t="s">
        <v>82</v>
      </c>
    </row>
    <row r="20" ht="15.75" customHeight="1">
      <c r="A20" s="1" t="s">
        <v>83</v>
      </c>
    </row>
    <row r="21" ht="15.75" customHeight="1">
      <c r="A21" s="1" t="s">
        <v>0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99</v>
      </c>
      <c r="H21" s="1" t="s">
        <v>7</v>
      </c>
      <c r="I21" s="1" t="s">
        <v>100</v>
      </c>
      <c r="J21" s="1" t="s">
        <v>101</v>
      </c>
      <c r="K21" s="1" t="s">
        <v>102</v>
      </c>
    </row>
    <row r="22" ht="15.75" customHeight="1">
      <c r="A22" s="1" t="s">
        <v>15</v>
      </c>
      <c r="B22" s="1">
        <f t="array" ref="B22:J22">Input_Data_Electrified!$B2:$J2*TRANSPOSE(Impact_Factors!$E$2:$E$10)</f>
        <v>214.7358</v>
      </c>
      <c r="C22" s="1">
        <v>10.8948</v>
      </c>
      <c r="D22" s="1">
        <v>1466.5104000000001</v>
      </c>
      <c r="E22" s="1">
        <v>761.8267000000001</v>
      </c>
      <c r="F22" s="1">
        <v>0.1749</v>
      </c>
      <c r="G22" s="1">
        <v>1458.7105</v>
      </c>
      <c r="H22" s="1">
        <v>0.0</v>
      </c>
      <c r="I22" s="1">
        <v>0.0</v>
      </c>
      <c r="J22" s="1">
        <v>111785.90699999999</v>
      </c>
      <c r="K22" s="1">
        <f>Input_Data_Electrified!K2*State_Electricity_Factors!D2</f>
        <v>1375.224627</v>
      </c>
    </row>
    <row r="23" ht="15.75" customHeight="1">
      <c r="A23" s="1" t="s">
        <v>16</v>
      </c>
      <c r="B23" s="1">
        <f t="array" ref="B23:J23">Input_Data_Electrified!$B3:$J3*TRANSPOSE(Impact_Factors!$E$2:$E$10)</f>
        <v>97.5456</v>
      </c>
      <c r="C23" s="1">
        <v>7.003799999999999</v>
      </c>
      <c r="D23" s="1">
        <v>369.5724</v>
      </c>
      <c r="E23" s="1">
        <v>10.977900000000002</v>
      </c>
      <c r="F23" s="1">
        <v>0.039599999999999996</v>
      </c>
      <c r="G23" s="1">
        <v>1561.7089999999998</v>
      </c>
      <c r="H23" s="1">
        <v>0.0</v>
      </c>
      <c r="I23" s="1">
        <v>0.0</v>
      </c>
      <c r="J23" s="1">
        <v>7132124.394</v>
      </c>
      <c r="K23" s="1">
        <f>Input_Data_Electrified!K3*State_Electricity_Factors!D3</f>
        <v>3728.835905</v>
      </c>
    </row>
    <row r="24" ht="15.75" customHeight="1">
      <c r="A24" s="1" t="s">
        <v>17</v>
      </c>
      <c r="B24" s="1">
        <f t="array" ref="B24:J24">Input_Data_Electrified!$B4:$J4*TRANSPOSE(Impact_Factors!$E$2:$E$10)</f>
        <v>170.7048</v>
      </c>
      <c r="C24" s="1">
        <v>46.69199999999999</v>
      </c>
      <c r="D24" s="1">
        <v>1177.1838</v>
      </c>
      <c r="E24" s="1">
        <v>599.9274</v>
      </c>
      <c r="F24" s="1">
        <v>0.2376</v>
      </c>
      <c r="G24" s="1">
        <v>1570.4585</v>
      </c>
      <c r="H24" s="1">
        <v>0.0</v>
      </c>
      <c r="I24" s="1">
        <v>0.0</v>
      </c>
      <c r="J24" s="1">
        <v>1435741.722</v>
      </c>
      <c r="K24" s="1">
        <f>Input_Data_Electrified!K4*State_Electricity_Factors!D4</f>
        <v>1800.649515</v>
      </c>
    </row>
    <row r="25" ht="15.75" customHeight="1">
      <c r="A25" s="1" t="s">
        <v>18</v>
      </c>
      <c r="B25" s="1">
        <f t="array" ref="B25:J25">Input_Data_Electrified!$B5:$J5*TRANSPOSE(Impact_Factors!$E$2:$E$10)</f>
        <v>86.0298</v>
      </c>
      <c r="C25" s="1">
        <v>18.287699999999997</v>
      </c>
      <c r="D25" s="1">
        <v>153.8658</v>
      </c>
      <c r="E25" s="1">
        <v>83.76830000000001</v>
      </c>
      <c r="F25" s="1">
        <v>0.1419</v>
      </c>
      <c r="G25" s="1">
        <v>1009.416</v>
      </c>
      <c r="H25" s="1">
        <v>0.0</v>
      </c>
      <c r="I25" s="1">
        <v>0.0</v>
      </c>
      <c r="J25" s="1">
        <v>5342918.018999999</v>
      </c>
      <c r="K25" s="1">
        <f>Input_Data_Electrified!K5*State_Electricity_Factors!D5</f>
        <v>4443.48948</v>
      </c>
    </row>
    <row r="26" ht="15.75" customHeight="1">
      <c r="A26" s="1" t="s">
        <v>19</v>
      </c>
      <c r="B26" s="1">
        <f t="array" ref="B26:J26">Input_Data_Electrified!$B6:$J6*TRANSPOSE(Impact_Factors!$E$2:$E$10)</f>
        <v>264.186</v>
      </c>
      <c r="C26" s="1">
        <v>27.236999999999995</v>
      </c>
      <c r="D26" s="1">
        <v>1139.6376</v>
      </c>
      <c r="E26" s="1">
        <v>410.33610000000004</v>
      </c>
      <c r="F26" s="1">
        <v>0.1606</v>
      </c>
      <c r="G26" s="1">
        <v>1334.0684999999999</v>
      </c>
      <c r="H26" s="1">
        <v>0.0</v>
      </c>
      <c r="I26" s="1">
        <v>0.0</v>
      </c>
      <c r="J26" s="1">
        <v>344354.8801</v>
      </c>
      <c r="K26" s="1">
        <f>Input_Data_Electrified!K6*State_Electricity_Factors!D6</f>
        <v>1018.986361</v>
      </c>
    </row>
    <row r="27" ht="15.75" customHeight="1">
      <c r="A27" s="1" t="s">
        <v>20</v>
      </c>
      <c r="B27" s="1">
        <f t="array" ref="B27:J27">Input_Data_Electrified!$B7:$J7*TRANSPOSE(Impact_Factors!$E$2:$E$10)</f>
        <v>188.3172</v>
      </c>
      <c r="C27" s="1">
        <v>11.672999999999998</v>
      </c>
      <c r="D27" s="1">
        <v>1639.5174000000002</v>
      </c>
      <c r="E27" s="1">
        <v>773.8925</v>
      </c>
      <c r="F27" s="1">
        <v>0.1771</v>
      </c>
      <c r="G27" s="1">
        <v>1344.1995</v>
      </c>
      <c r="H27" s="1">
        <v>0.0</v>
      </c>
      <c r="I27" s="1">
        <v>0.0</v>
      </c>
      <c r="J27" s="1">
        <v>446116.1355</v>
      </c>
      <c r="K27" s="1">
        <f>Input_Data_Electrified!K7*State_Electricity_Factors!D7</f>
        <v>1591.767976</v>
      </c>
    </row>
    <row r="28" ht="15.75" customHeight="1">
      <c r="A28" s="1" t="s">
        <v>21</v>
      </c>
      <c r="B28" s="1">
        <f t="array" ref="B28:J28">Input_Data_Electrified!$B8:$J8*TRANSPOSE(Impact_Factors!$E$2:$E$10)</f>
        <v>264.186</v>
      </c>
      <c r="C28" s="1">
        <v>27.236999999999995</v>
      </c>
      <c r="D28" s="1">
        <v>1139.6376</v>
      </c>
      <c r="E28" s="1">
        <v>410.33610000000004</v>
      </c>
      <c r="F28" s="1">
        <v>0.1606</v>
      </c>
      <c r="G28" s="1">
        <v>1334.0684999999999</v>
      </c>
      <c r="H28" s="1">
        <v>0.0</v>
      </c>
      <c r="I28" s="1">
        <v>0.0</v>
      </c>
      <c r="J28" s="1">
        <v>480094.5633</v>
      </c>
      <c r="K28" s="1">
        <f>Input_Data_Electrified!K8*State_Electricity_Factors!D8</f>
        <v>1768.932542</v>
      </c>
    </row>
    <row r="29" ht="15.75" customHeight="1">
      <c r="A29" s="1" t="s">
        <v>22</v>
      </c>
      <c r="B29" s="1">
        <f t="array" ref="B29:J29">Input_Data_Electrified!$B9:$J9*TRANSPOSE(Impact_Factors!$E$2:$E$10)</f>
        <v>258.7668</v>
      </c>
      <c r="C29" s="1">
        <v>56.80859999999999</v>
      </c>
      <c r="D29" s="1">
        <v>1257.4296</v>
      </c>
      <c r="E29" s="1">
        <v>550.4774</v>
      </c>
      <c r="F29" s="1">
        <v>0.1914</v>
      </c>
      <c r="G29" s="1">
        <v>1080.3329999999999</v>
      </c>
      <c r="H29" s="1">
        <v>0.0</v>
      </c>
      <c r="I29" s="1">
        <v>0.0</v>
      </c>
      <c r="J29" s="1">
        <v>444194.6589</v>
      </c>
      <c r="K29" s="1">
        <f>Input_Data_Electrified!K9*State_Electricity_Factors!D9</f>
        <v>1165.402758</v>
      </c>
    </row>
    <row r="30" ht="15.75" customHeight="1">
      <c r="A30" s="1" t="s">
        <v>23</v>
      </c>
      <c r="B30" s="1">
        <f t="array" ref="B30:J30">Input_Data_Electrified!$B10:$J10*TRANSPOSE(Impact_Factors!$E$2:$E$10)</f>
        <v>222.8646</v>
      </c>
      <c r="C30" s="1">
        <v>54.47399999999999</v>
      </c>
      <c r="D30" s="1">
        <v>735.4638000000001</v>
      </c>
      <c r="E30" s="1">
        <v>565.7080000000001</v>
      </c>
      <c r="F30" s="1">
        <v>0.16720000000000002</v>
      </c>
      <c r="G30" s="1">
        <v>1342.204</v>
      </c>
      <c r="H30" s="1">
        <v>0.0</v>
      </c>
      <c r="I30" s="1">
        <v>0.0</v>
      </c>
      <c r="J30" s="1">
        <v>463419.4554</v>
      </c>
      <c r="K30" s="1">
        <f>Input_Data_Electrified!K10*State_Electricity_Factors!D10</f>
        <v>792.8920442</v>
      </c>
    </row>
    <row r="31" ht="15.75" customHeight="1">
      <c r="A31" s="1" t="s">
        <v>24</v>
      </c>
      <c r="B31" s="1">
        <f t="array" ref="B31:J31">Input_Data_Electrified!$B11:$J11*TRANSPOSE(Impact_Factors!$E$2:$E$10)</f>
        <v>142.9314</v>
      </c>
      <c r="C31" s="1">
        <v>35.4081</v>
      </c>
      <c r="D31" s="1">
        <v>1089.576</v>
      </c>
      <c r="E31" s="1">
        <v>483.5221</v>
      </c>
      <c r="F31" s="1">
        <v>0.2486</v>
      </c>
      <c r="G31" s="1">
        <v>1196.072</v>
      </c>
      <c r="H31" s="1">
        <v>0.0</v>
      </c>
      <c r="I31" s="1">
        <v>0.0</v>
      </c>
      <c r="J31" s="1">
        <v>651568.5931</v>
      </c>
      <c r="K31" s="1">
        <f>Input_Data_Electrified!K11*State_Electricity_Factors!D11</f>
        <v>2214.165636</v>
      </c>
    </row>
    <row r="32" ht="15.75" customHeight="1">
      <c r="A32" s="1" t="s">
        <v>25</v>
      </c>
      <c r="B32" s="1">
        <f t="array" ref="B32:J32">Input_Data_Electrified!$B12:$J12*TRANSPOSE(Impact_Factors!$E$2:$E$10)</f>
        <v>264.186</v>
      </c>
      <c r="C32" s="1">
        <v>27.236999999999995</v>
      </c>
      <c r="D32" s="1">
        <v>1139.6376</v>
      </c>
      <c r="E32" s="1">
        <v>410.33610000000004</v>
      </c>
      <c r="F32" s="1">
        <v>0.1606</v>
      </c>
      <c r="G32" s="1">
        <v>1334.0684999999999</v>
      </c>
      <c r="H32" s="1">
        <v>0.0</v>
      </c>
      <c r="I32" s="1">
        <v>0.0</v>
      </c>
      <c r="J32" s="1">
        <v>3962167.2739999997</v>
      </c>
      <c r="K32" s="1">
        <f>Input_Data_Electrified!K12*State_Electricity_Factors!D12</f>
        <v>3903.129291</v>
      </c>
    </row>
    <row r="33" ht="15.75" customHeight="1">
      <c r="A33" s="1" t="s">
        <v>26</v>
      </c>
      <c r="B33" s="1">
        <f t="array" ref="B33:J33">Input_Data_Electrified!$B13:$J13*TRANSPOSE(Impact_Factors!$E$2:$E$10)</f>
        <v>223.542</v>
      </c>
      <c r="C33" s="1">
        <v>22.178699999999996</v>
      </c>
      <c r="D33" s="1">
        <v>806.8752000000001</v>
      </c>
      <c r="E33" s="1">
        <v>712.2778</v>
      </c>
      <c r="F33" s="1">
        <v>0.1628</v>
      </c>
      <c r="G33" s="1">
        <v>1145.8775</v>
      </c>
      <c r="H33" s="1">
        <v>0.0</v>
      </c>
      <c r="I33" s="1">
        <v>0.0</v>
      </c>
      <c r="J33" s="1">
        <v>28744.97317</v>
      </c>
      <c r="K33" s="1">
        <f>Input_Data_Electrified!K13*State_Electricity_Factors!D13</f>
        <v>2450.143058</v>
      </c>
    </row>
    <row r="34" ht="15.75" customHeight="1">
      <c r="A34" s="1" t="s">
        <v>27</v>
      </c>
      <c r="B34" s="1">
        <f t="array" ref="B34:J34">Input_Data_Electrified!$B14:$J14*TRANSPOSE(Impact_Factors!$E$2:$E$10)</f>
        <v>440.31</v>
      </c>
      <c r="C34" s="1">
        <v>24.9024</v>
      </c>
      <c r="D34" s="1">
        <v>1416.8169000000003</v>
      </c>
      <c r="E34" s="1">
        <v>92.5704</v>
      </c>
      <c r="F34" s="1">
        <v>0.2189</v>
      </c>
      <c r="G34" s="1">
        <v>1896.339</v>
      </c>
      <c r="H34" s="1">
        <v>0.0</v>
      </c>
      <c r="I34" s="1">
        <v>0.0</v>
      </c>
      <c r="J34" s="1">
        <v>1351246.373</v>
      </c>
      <c r="K34" s="1">
        <f>Input_Data_Electrified!K14*State_Electricity_Factors!D14</f>
        <v>2124.947631</v>
      </c>
    </row>
    <row r="35" ht="15.75" customHeight="1">
      <c r="A35" s="1" t="s">
        <v>28</v>
      </c>
      <c r="B35" s="1">
        <f t="array" ref="B35:J35">Input_Data_Electrified!$B15:$J15*TRANSPOSE(Impact_Factors!$E$2:$E$10)</f>
        <v>269.6052</v>
      </c>
      <c r="C35" s="1">
        <v>11.672999999999998</v>
      </c>
      <c r="D35" s="1">
        <v>1078.9011</v>
      </c>
      <c r="E35" s="1">
        <v>1053.8784</v>
      </c>
      <c r="F35" s="1">
        <v>0.2717</v>
      </c>
      <c r="G35" s="1">
        <v>1498.0065</v>
      </c>
      <c r="H35" s="1">
        <v>0.0</v>
      </c>
      <c r="I35" s="1">
        <v>0.0</v>
      </c>
      <c r="J35" s="1">
        <v>194267.9591</v>
      </c>
      <c r="K35" s="1">
        <f>Input_Data_Electrified!K15*State_Electricity_Factors!D15</f>
        <v>1935.411588</v>
      </c>
    </row>
    <row r="36" ht="15.75" customHeight="1">
      <c r="A36" s="1" t="s">
        <v>29</v>
      </c>
      <c r="B36" s="1">
        <f t="array" ref="B36:J36">Input_Data_Electrified!$B16:$J16*TRANSPOSE(Impact_Factors!$E$2:$E$10)</f>
        <v>206.607</v>
      </c>
      <c r="C36" s="1">
        <v>26.847899999999996</v>
      </c>
      <c r="D36" s="1">
        <v>1393.2585000000001</v>
      </c>
      <c r="E36" s="1">
        <v>678.0584</v>
      </c>
      <c r="F36" s="1">
        <v>0.154</v>
      </c>
      <c r="G36" s="1">
        <v>1115.331</v>
      </c>
      <c r="H36" s="1">
        <v>0.0</v>
      </c>
      <c r="I36" s="1">
        <v>0.0</v>
      </c>
      <c r="J36" s="1">
        <v>101943.9018</v>
      </c>
      <c r="K36" s="1">
        <f>Input_Data_Electrified!K16*State_Electricity_Factors!D16</f>
        <v>1830.036466</v>
      </c>
    </row>
    <row r="37" ht="15.75" customHeight="1">
      <c r="A37" s="1" t="s">
        <v>30</v>
      </c>
      <c r="B37" s="1">
        <f t="array" ref="B37:J37">Input_Data_Electrified!$B17:$J17*TRANSPOSE(Impact_Factors!$E$2:$E$10)</f>
        <v>386.118</v>
      </c>
      <c r="C37" s="1">
        <v>25.2915</v>
      </c>
      <c r="D37" s="1">
        <v>1128.9627</v>
      </c>
      <c r="E37" s="1">
        <v>47.3731</v>
      </c>
      <c r="F37" s="1">
        <v>0.1111</v>
      </c>
      <c r="G37" s="1">
        <v>1315.188</v>
      </c>
      <c r="H37" s="1">
        <v>0.0</v>
      </c>
      <c r="I37" s="1">
        <v>0.0</v>
      </c>
      <c r="J37" s="1">
        <v>2998251.289</v>
      </c>
      <c r="K37" s="1">
        <f>Input_Data_Electrified!K17*State_Electricity_Factors!D17</f>
        <v>2128.845204</v>
      </c>
    </row>
    <row r="38" ht="15.75" customHeight="1">
      <c r="A38" s="1" t="s">
        <v>31</v>
      </c>
      <c r="B38" s="1">
        <f t="array" ref="B38:J38">Input_Data_Electrified!$B18:$J18*TRANSPOSE(Impact_Factors!$E$2:$E$10)</f>
        <v>264.186</v>
      </c>
      <c r="C38" s="1">
        <v>27.236999999999995</v>
      </c>
      <c r="D38" s="1">
        <v>1139.6376</v>
      </c>
      <c r="E38" s="1">
        <v>410.33610000000004</v>
      </c>
      <c r="F38" s="1">
        <v>0.1606</v>
      </c>
      <c r="G38" s="1">
        <v>1334.0684999999999</v>
      </c>
      <c r="H38" s="1">
        <v>0.0</v>
      </c>
      <c r="I38" s="1">
        <v>0.0</v>
      </c>
      <c r="J38" s="1">
        <v>1703.349514</v>
      </c>
      <c r="K38" s="1">
        <f>Input_Data_Electrified!K18*State_Electricity_Factors!D18</f>
        <v>1284.713506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